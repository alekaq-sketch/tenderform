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расчет" sheetId="3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<sst xmlns="http://schemas.openxmlformats.org/spreadsheetml/2006/main" count="42" uniqueCount="40">
  <si>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Батыр</t>
  </si>
  <si>
    <t>лот T-0003701</t>
  </si>
  <si>
    <t>RG GOLD</t>
  </si>
  <si>
    <t>Дата:24.06.2026</t>
  </si>
  <si>
    <t xml:space="preserve">Дата начала лота:19.06.2026 </t>
  </si>
  <si>
    <t>Дата окончания лота: 25.06.2026</t>
  </si>
  <si>
    <t>Срок производства: 10 дн</t>
  </si>
  <si>
    <t>коэф</t>
  </si>
  <si>
    <t>курс $</t>
  </si>
  <si>
    <t>покупка</t>
  </si>
  <si>
    <t xml:space="preserve"> </t>
  </si>
  <si>
    <t>№</t>
  </si>
  <si>
    <t>Наименование</t>
  </si>
  <si>
    <t>Кол-во</t>
  </si>
  <si>
    <t xml:space="preserve">Цена DDP        (+ НДС)   </t>
  </si>
  <si>
    <t>Сумма DDP</t>
  </si>
  <si>
    <t>НДС</t>
  </si>
  <si>
    <t>Сумма без НДС</t>
  </si>
  <si>
    <t>Цена</t>
  </si>
  <si>
    <t>Сумма продажи    с НДС</t>
  </si>
  <si>
    <t>НДС от реализации</t>
  </si>
  <si>
    <t>НДС к доплате</t>
  </si>
  <si>
    <t>Цена реализации без НДС</t>
  </si>
  <si>
    <t xml:space="preserve">Грязная прибыль </t>
  </si>
  <si>
    <t>Банк.обслуж</t>
  </si>
  <si>
    <t>Налог на прибыль</t>
  </si>
  <si>
    <t>Прибыль</t>
  </si>
  <si>
    <t>Кэш - 6%</t>
  </si>
  <si>
    <t>тонн</t>
  </si>
  <si>
    <t>kzt</t>
  </si>
  <si>
    <t>Песок (отсев) + доставка</t>
  </si>
  <si>
    <t>Налог на прибыль 20%</t>
  </si>
  <si>
    <t>Налог на дивид. и обнал 6%</t>
  </si>
  <si>
    <t>Дорога</t>
  </si>
  <si>
    <t>Обслуживание банка 0,4%</t>
  </si>
  <si>
    <t xml:space="preserve">Итого расходы  </t>
  </si>
  <si>
    <t>Сумма контракт</t>
  </si>
  <si>
    <t>Прибыль, kzt</t>
  </si>
  <si>
    <t>Прибыль, usd</t>
  </si>
  <si>
    <t>Прибыль,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</si>
</sst>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-* #\ ##0.00\ _₽_-;\-* #\ ##0.00\ _₽_-;_-* &quot;-&quot;??\ _₽_-;_-@_-"/>
    <numFmt numFmtId="177" formatCode="_-* #\ ##0.00\ &quot;₽&quot;_-;\-* #\ ##0.00\ &quot;₽&quot;_-;_-* &quot;-&quot;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  <numFmt numFmtId="181" formatCode="0.000"/>
    <numFmt numFmtId="182" formatCode="#\ ##0.00\ [$₸-43F]"/>
    <numFmt numFmtId="183" formatCode="[$$-409]#\ ##0.00"/>
    <numFmt numFmtId="184" formatCode="_-* #\ ##0.00_р_._-;\-* #\ ##0.00_р_._-;_-* &quot;-&quot;??_р_._-;_-@_-"/>
    <numFmt numFmtId="185" formatCode="_-* #\ ##0.000_р_._-;\-* #\ ##0.000_р_._-;_-* &quot;-&quot;??_р_._-;_-@_-"/>
    <numFmt numFmtId="186" formatCode="[$$-C09]#\ ##0.00;\-[$$-C09]#\ ##0.00"/>
    <numFmt numFmtId="187" formatCode="#\ ##0.00\ [$₸-43F];\-#\ ##0.00\ [$₸-43F]"/>
  </numFmts>
  <fonts count="37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11"/>
      <color theme="1"/>
      <name val="Arial"/>
      <charset val="204"/>
    </font>
    <font>
      <b/>
      <i/>
      <sz val="11"/>
      <color rgb="FF0000FF"/>
      <name val="Arial"/>
      <charset val="204"/>
    </font>
    <font>
      <b/>
      <i/>
      <sz val="11"/>
      <color theme="4" tint="-0.499984740745262"/>
      <name val="Arial"/>
      <charset val="204"/>
    </font>
    <font>
      <i/>
      <sz val="11"/>
      <color rgb="FF0000FF"/>
      <name val="Arial"/>
      <charset val="204"/>
    </font>
    <font>
      <i/>
      <sz val="11"/>
      <color rgb="FF0000FF"/>
      <name val="Arial"/>
      <charset val="134"/>
    </font>
    <font>
      <b/>
      <i/>
      <sz val="11"/>
      <color rgb="FF0000FF"/>
      <name val="Arial"/>
      <charset val="134"/>
    </font>
    <font>
      <b/>
      <sz val="9"/>
      <color rgb="FFFF0000"/>
      <name val="Arial"/>
      <charset val="134"/>
    </font>
    <font>
      <i/>
      <sz val="9"/>
      <color theme="1"/>
      <name val="Arial"/>
      <charset val="134"/>
    </font>
    <font>
      <i/>
      <sz val="9"/>
      <color rgb="FF000000"/>
      <name val="Arial"/>
      <charset val="134"/>
    </font>
    <font>
      <b/>
      <sz val="9"/>
      <name val="Arial"/>
      <charset val="134"/>
    </font>
    <font>
      <b/>
      <sz val="9"/>
      <color theme="1"/>
      <name val="Arial"/>
      <charset val="204"/>
    </font>
    <font>
      <sz val="12"/>
      <color theme="1"/>
      <name val="Arial"/>
      <charset val="20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Helv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2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24" applyNumberFormat="0" applyAlignment="0" applyProtection="0">
      <alignment vertical="center"/>
    </xf>
    <xf numFmtId="0" fontId="26" fillId="9" borderId="25" applyNumberFormat="0" applyAlignment="0" applyProtection="0">
      <alignment vertical="center"/>
    </xf>
    <xf numFmtId="0" fontId="27" fillId="9" borderId="24" applyNumberFormat="0" applyAlignment="0" applyProtection="0">
      <alignment vertical="center"/>
    </xf>
    <xf numFmtId="0" fontId="28" fillId="10" borderId="26" applyNumberFormat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0" borderId="0"/>
    <xf numFmtId="0" fontId="36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80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81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1" fillId="4" borderId="11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182" fontId="1" fillId="3" borderId="14" xfId="1" applyNumberFormat="1" applyFont="1" applyFill="1" applyBorder="1" applyAlignment="1">
      <alignment horizontal="center" vertical="center"/>
    </xf>
    <xf numFmtId="182" fontId="1" fillId="3" borderId="15" xfId="1" applyNumberFormat="1" applyFont="1" applyFill="1" applyBorder="1" applyAlignment="1">
      <alignment horizontal="center" vertical="center"/>
    </xf>
    <xf numFmtId="180" fontId="2" fillId="0" borderId="16" xfId="0" applyNumberFormat="1" applyFont="1" applyBorder="1"/>
    <xf numFmtId="180" fontId="2" fillId="0" borderId="17" xfId="0" applyNumberFormat="1" applyFont="1" applyBorder="1"/>
    <xf numFmtId="0" fontId="2" fillId="3" borderId="17" xfId="0" applyNumberFormat="1" applyFont="1" applyFill="1" applyBorder="1" applyAlignment="1">
      <alignment horizontal="center" vertical="center" wrapText="1"/>
    </xf>
    <xf numFmtId="182" fontId="12" fillId="3" borderId="17" xfId="0" applyNumberFormat="1" applyFont="1" applyFill="1" applyBorder="1"/>
    <xf numFmtId="182" fontId="2" fillId="3" borderId="17" xfId="1" applyNumberFormat="1" applyFont="1" applyFill="1" applyBorder="1" applyAlignment="1">
      <alignment horizontal="center" vertical="center"/>
    </xf>
    <xf numFmtId="182" fontId="2" fillId="3" borderId="18" xfId="1" applyNumberFormat="1" applyFont="1" applyFill="1" applyBorder="1" applyAlignment="1">
      <alignment horizontal="center" vertical="center"/>
    </xf>
    <xf numFmtId="182" fontId="1" fillId="0" borderId="0" xfId="0" applyNumberFormat="1" applyFont="1"/>
    <xf numFmtId="182" fontId="1" fillId="0" borderId="0" xfId="1" applyNumberFormat="1" applyFont="1"/>
    <xf numFmtId="183" fontId="1" fillId="0" borderId="0" xfId="0" applyNumberFormat="1" applyFont="1"/>
    <xf numFmtId="0" fontId="1" fillId="5" borderId="0" xfId="0" applyFont="1" applyFill="1"/>
    <xf numFmtId="183" fontId="1" fillId="5" borderId="0" xfId="0" applyNumberFormat="1" applyFont="1" applyFill="1"/>
    <xf numFmtId="182" fontId="1" fillId="5" borderId="0" xfId="1" applyNumberFormat="1" applyFont="1" applyFill="1"/>
    <xf numFmtId="0" fontId="2" fillId="0" borderId="0" xfId="0" applyFont="1"/>
    <xf numFmtId="184" fontId="1" fillId="0" borderId="0" xfId="1" applyNumberFormat="1" applyFont="1"/>
    <xf numFmtId="182" fontId="2" fillId="0" borderId="0" xfId="1" applyNumberFormat="1" applyFont="1"/>
    <xf numFmtId="0" fontId="2" fillId="2" borderId="0" xfId="0" applyFont="1" applyFill="1"/>
    <xf numFmtId="0" fontId="1" fillId="2" borderId="0" xfId="0" applyFont="1" applyFill="1"/>
    <xf numFmtId="183" fontId="2" fillId="2" borderId="0" xfId="1" applyNumberFormat="1" applyFont="1" applyFill="1"/>
    <xf numFmtId="10" fontId="2" fillId="2" borderId="0" xfId="3" applyNumberFormat="1" applyFont="1" applyFill="1" applyAlignment="1">
      <alignment horizontal="right"/>
    </xf>
    <xf numFmtId="176" fontId="1" fillId="0" borderId="0" xfId="1" applyFont="1"/>
    <xf numFmtId="182" fontId="3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 vertical="center"/>
    </xf>
    <xf numFmtId="185" fontId="1" fillId="0" borderId="0" xfId="1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top"/>
    </xf>
    <xf numFmtId="0" fontId="13" fillId="3" borderId="5" xfId="0" applyFont="1" applyFill="1" applyBorder="1" applyAlignment="1">
      <alignment horizontal="center" vertical="top" wrapText="1"/>
    </xf>
    <xf numFmtId="0" fontId="13" fillId="3" borderId="5" xfId="0" applyFont="1" applyFill="1" applyBorder="1" applyAlignment="1">
      <alignment horizontal="center" vertical="top"/>
    </xf>
    <xf numFmtId="0" fontId="13" fillId="3" borderId="20" xfId="0" applyFont="1" applyFill="1" applyBorder="1" applyAlignment="1">
      <alignment horizontal="center" vertical="top"/>
    </xf>
    <xf numFmtId="0" fontId="13" fillId="3" borderId="11" xfId="0" applyFont="1" applyFill="1" applyBorder="1" applyAlignment="1">
      <alignment horizontal="center" vertical="top" wrapText="1"/>
    </xf>
    <xf numFmtId="0" fontId="13" fillId="3" borderId="11" xfId="0" applyFont="1" applyFill="1" applyBorder="1" applyAlignment="1">
      <alignment horizontal="center" vertical="top"/>
    </xf>
    <xf numFmtId="182" fontId="1" fillId="3" borderId="8" xfId="1" applyNumberFormat="1" applyFont="1" applyFill="1" applyBorder="1" applyAlignment="1">
      <alignment horizontal="center" vertical="center"/>
    </xf>
    <xf numFmtId="182" fontId="2" fillId="0" borderId="0" xfId="2" applyNumberFormat="1" applyFont="1"/>
    <xf numFmtId="182" fontId="2" fillId="3" borderId="16" xfId="1" applyNumberFormat="1" applyFont="1" applyFill="1" applyBorder="1" applyAlignment="1">
      <alignment horizontal="center" vertical="center"/>
    </xf>
    <xf numFmtId="186" fontId="1" fillId="0" borderId="0" xfId="0" applyNumberFormat="1" applyFont="1"/>
    <xf numFmtId="187" fontId="1" fillId="0" borderId="0" xfId="0" applyNumberFormat="1" applyFont="1"/>
    <xf numFmtId="180" fontId="1" fillId="0" borderId="0" xfId="0" applyNumberFormat="1" applyFont="1"/>
    <xf numFmtId="176" fontId="1" fillId="0" borderId="0" xfId="0" applyNumberFormat="1" applyFont="1"/>
    <xf numFmtId="182" fontId="1" fillId="0" borderId="0" xfId="0" applyNumberFormat="1" applyFont="1" applyAlignment="1">
      <alignment horizontal="center"/>
    </xf>
    <xf numFmtId="2" fontId="14" fillId="6" borderId="0" xfId="0" applyNumberFormat="1" applyFont="1" applyFill="1"/>
    <xf numFmtId="0" fontId="13" fillId="3" borderId="7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3" fillId="3" borderId="13" xfId="0" applyFont="1" applyFill="1" applyBorder="1" applyAlignment="1">
      <alignment horizontal="center" vertical="top"/>
    </xf>
    <xf numFmtId="180" fontId="15" fillId="0" borderId="0" xfId="0" applyNumberFormat="1" applyFont="1" applyAlignment="1">
      <alignment vertical="center"/>
    </xf>
    <xf numFmtId="1" fontId="1" fillId="0" borderId="0" xfId="0" applyNumberFormat="1" applyFont="1"/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3" xfId="49"/>
    <cellStyle name="Стиль 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FD33"/>
  <sheetViews>
    <sheetView tabSelected="1" zoomScale="85" zoomScaleNormal="85" topLeftCell="D1" workbookViewId="0">
      <selection activeCell="K12" sqref="K12"/>
    </sheetView>
  </sheetViews>
  <sheetFormatPr defaultColWidth="9.17592592592593" defaultRowHeight="13.8"/>
  <cols>
    <col min="1" max="1" width="2.81481481481481" style="5" customWidth="1"/>
    <col min="2" max="2" width="3.17592592592593" style="5" customWidth="1"/>
    <col min="3" max="3" width="45.5462962962963" style="5" customWidth="1"/>
    <col min="4" max="4" width="9.5462962962963" style="5" customWidth="1"/>
    <col min="5" max="5" width="11.5462962962963" style="5" customWidth="1"/>
    <col min="6" max="6" width="13.4537037037037" style="5" customWidth="1"/>
    <col min="7" max="7" width="11.8148148148148" style="5" customWidth="1"/>
    <col min="8" max="8" width="13.5462962962963" style="5" customWidth="1"/>
    <col min="9" max="9" width="2.4537037037037" style="5" customWidth="1"/>
    <col min="10" max="10" width="12.5462962962963" style="5" customWidth="1"/>
    <col min="11" max="11" width="13.5462962962963" style="5" customWidth="1"/>
    <col min="12" max="12" width="12.5462962962963" style="5" customWidth="1"/>
    <col min="13" max="13" width="11.8148148148148" style="5" customWidth="1"/>
    <col min="14" max="14" width="15.1759259259259" style="5" customWidth="1"/>
    <col min="15" max="15" width="13.4537037037037" style="5" customWidth="1"/>
    <col min="16" max="16" width="11.5462962962963" style="5" customWidth="1"/>
    <col min="17" max="17" width="14.4537037037037" style="5" customWidth="1"/>
    <col min="18" max="18" width="14" style="5" customWidth="1"/>
    <col min="19" max="19" width="11.4537037037037" style="5" customWidth="1"/>
    <col min="20" max="20" width="31.5462962962963" style="5" customWidth="1"/>
    <col min="21" max="16384" width="9.17592592592593" style="5"/>
  </cols>
  <sheetData>
    <row r="2" customFormat="1" ht="15" spans="2:19">
      <c r="B2" s="6" t="s">
        <v>0</v>
      </c>
      <c r="C2" s="7"/>
      <c r="K2" s="50"/>
      <c r="R2" s="69" t="s">
        <v>1</v>
      </c>
      <c r="S2" s="69"/>
    </row>
    <row r="3" customFormat="1" ht="14.4" spans="2:11">
      <c r="B3" s="6" t="s">
        <v>2</v>
      </c>
      <c r="C3" s="7"/>
      <c r="K3" s="50"/>
    </row>
    <row r="4" customFormat="1" ht="14.4" spans="2:11">
      <c r="B4" s="8" t="s">
        <v>3</v>
      </c>
      <c r="C4" s="7"/>
      <c r="K4" s="50"/>
    </row>
    <row r="5" customFormat="1" ht="14.4" spans="2:11">
      <c r="B5" s="9" t="s">
        <v>4</v>
      </c>
      <c r="C5" s="7"/>
      <c r="K5" s="50"/>
    </row>
    <row r="6" customFormat="1" ht="14.4" spans="2:11">
      <c r="B6" s="8" t="s">
        <v>5</v>
      </c>
      <c r="C6" s="7"/>
      <c r="K6" s="50"/>
    </row>
    <row r="7" customFormat="1" ht="14.4" spans="2:11">
      <c r="B7" s="8" t="s">
        <v>6</v>
      </c>
      <c r="C7" s="7"/>
      <c r="K7" s="50"/>
    </row>
    <row r="8" customFormat="1" ht="14.4" spans="2:11">
      <c r="B8" s="10"/>
      <c r="C8" s="7"/>
      <c r="J8" s="51" t="s">
        <v>7</v>
      </c>
      <c r="K8" t="s">
        <v>8</v>
      </c>
    </row>
    <row r="9" s="1" customFormat="1" ht="15.15" spans="3:16">
      <c r="C9" s="11"/>
      <c r="E9" s="12" t="s">
        <v>9</v>
      </c>
      <c r="F9" s="12"/>
      <c r="J9">
        <v>1.5</v>
      </c>
      <c r="K9">
        <v>486.19</v>
      </c>
      <c r="N9" s="52"/>
      <c r="P9" s="53"/>
    </row>
    <row r="10" s="2" customFormat="1" ht="24" spans="1:20">
      <c r="A10" s="2" t="s">
        <v>10</v>
      </c>
      <c r="B10" s="13" t="s">
        <v>11</v>
      </c>
      <c r="C10" s="14" t="s">
        <v>12</v>
      </c>
      <c r="D10" s="15" t="s">
        <v>13</v>
      </c>
      <c r="E10" s="16" t="s">
        <v>14</v>
      </c>
      <c r="F10" s="17" t="s">
        <v>15</v>
      </c>
      <c r="G10" s="17" t="s">
        <v>16</v>
      </c>
      <c r="H10" s="18" t="s">
        <v>17</v>
      </c>
      <c r="I10" s="54"/>
      <c r="J10" s="55" t="s">
        <v>18</v>
      </c>
      <c r="K10" s="56" t="s">
        <v>19</v>
      </c>
      <c r="L10" s="56" t="s">
        <v>20</v>
      </c>
      <c r="M10" s="56" t="s">
        <v>21</v>
      </c>
      <c r="N10" s="56" t="s">
        <v>22</v>
      </c>
      <c r="O10" s="56" t="s">
        <v>23</v>
      </c>
      <c r="P10" s="57" t="s">
        <v>24</v>
      </c>
      <c r="Q10" s="56" t="s">
        <v>25</v>
      </c>
      <c r="R10" s="57" t="s">
        <v>26</v>
      </c>
      <c r="S10" s="70" t="s">
        <v>27</v>
      </c>
      <c r="T10" s="71"/>
    </row>
    <row r="11" s="2" customFormat="1" ht="11.4" spans="2:20">
      <c r="B11" s="19"/>
      <c r="C11" s="20"/>
      <c r="D11" s="21" t="s">
        <v>28</v>
      </c>
      <c r="E11" s="22" t="s">
        <v>29</v>
      </c>
      <c r="F11" s="23" t="s">
        <v>29</v>
      </c>
      <c r="G11" s="23"/>
      <c r="H11" s="24"/>
      <c r="I11" s="54"/>
      <c r="J11" s="58"/>
      <c r="K11" s="59"/>
      <c r="L11" s="59"/>
      <c r="M11" s="59"/>
      <c r="N11" s="59"/>
      <c r="O11" s="59"/>
      <c r="P11" s="60"/>
      <c r="Q11" s="59"/>
      <c r="R11" s="60"/>
      <c r="S11" s="72"/>
      <c r="T11" s="71"/>
    </row>
    <row r="12" s="2" customFormat="1" ht="26.5" customHeight="1" spans="2:20">
      <c r="B12" s="19">
        <v>1</v>
      </c>
      <c r="C12" s="25" t="s">
        <v>30</v>
      </c>
      <c r="D12" s="26">
        <v>150</v>
      </c>
      <c r="E12" s="27">
        <v>8500</v>
      </c>
      <c r="F12" s="27">
        <f>E12*D12</f>
        <v>1275000</v>
      </c>
      <c r="G12" s="27">
        <f>F12*16/116</f>
        <v>175862.07</v>
      </c>
      <c r="H12" s="28">
        <f>F12-G12</f>
        <v>1099137.93</v>
      </c>
      <c r="I12" s="54"/>
      <c r="J12" s="61">
        <f>E12*J9</f>
        <v>12750</v>
      </c>
      <c r="K12" s="27">
        <f>J12*D12</f>
        <v>1912500</v>
      </c>
      <c r="L12" s="27">
        <f>K12*16/116</f>
        <v>263793.1</v>
      </c>
      <c r="M12" s="27">
        <f>L12-G12</f>
        <v>87931.03</v>
      </c>
      <c r="N12" s="27">
        <f>K12-L12</f>
        <v>1648706.9</v>
      </c>
      <c r="O12" s="27">
        <f t="shared" ref="O12" si="0">N12-H12</f>
        <v>549568.97</v>
      </c>
      <c r="P12" s="27">
        <f t="shared" ref="P12" si="1">F12*0.4%</f>
        <v>5100</v>
      </c>
      <c r="Q12" s="27">
        <f t="shared" ref="Q12" si="2">(O12-P12)*20%</f>
        <v>108893.79</v>
      </c>
      <c r="R12" s="27">
        <f>O12-Q12-P12</f>
        <v>435575.18</v>
      </c>
      <c r="S12" s="28">
        <f>R12*0.06</f>
        <v>26134.51</v>
      </c>
      <c r="T12" s="71"/>
    </row>
    <row r="13" s="3" customFormat="1" ht="12.65" customHeight="1" spans="2:19">
      <c r="B13" s="29"/>
      <c r="C13" s="30"/>
      <c r="D13" s="31">
        <f>SUM(D12)</f>
        <v>150</v>
      </c>
      <c r="E13" s="32"/>
      <c r="F13" s="33">
        <f>SUM(F12:F12)</f>
        <v>1275000</v>
      </c>
      <c r="G13" s="33">
        <f>SUM(G12:G12)</f>
        <v>175862.07</v>
      </c>
      <c r="H13" s="34">
        <f>SUM(H12:H12)</f>
        <v>1099137.93</v>
      </c>
      <c r="I13" s="62"/>
      <c r="J13" s="63"/>
      <c r="K13" s="33">
        <f t="shared" ref="K13:S13" si="3">SUM(K12:K12)</f>
        <v>1912500</v>
      </c>
      <c r="L13" s="33">
        <f t="shared" si="3"/>
        <v>263793.1</v>
      </c>
      <c r="M13" s="33">
        <f t="shared" si="3"/>
        <v>87931.03</v>
      </c>
      <c r="N13" s="33">
        <f t="shared" si="3"/>
        <v>1648706.9</v>
      </c>
      <c r="O13" s="33">
        <f t="shared" si="3"/>
        <v>549568.97</v>
      </c>
      <c r="P13" s="33">
        <f t="shared" si="3"/>
        <v>5100</v>
      </c>
      <c r="Q13" s="33">
        <f t="shared" si="3"/>
        <v>108893.79</v>
      </c>
      <c r="R13" s="33">
        <f t="shared" si="3"/>
        <v>435575.18</v>
      </c>
      <c r="S13" s="34">
        <f t="shared" si="3"/>
        <v>26134.51</v>
      </c>
    </row>
    <row r="14" s="1" customFormat="1" ht="11.4" spans="7:17">
      <c r="G14" s="35"/>
      <c r="J14" s="64"/>
      <c r="N14" s="65">
        <f>N12/D12</f>
        <v>10991.38</v>
      </c>
      <c r="P14" s="53"/>
      <c r="Q14" s="66"/>
    </row>
    <row r="15" s="1" customFormat="1" ht="11.4" spans="2:18">
      <c r="B15" s="1">
        <v>1</v>
      </c>
      <c r="C15" s="1" t="s">
        <v>16</v>
      </c>
      <c r="H15" s="36">
        <f>G13+M13</f>
        <v>263793.1</v>
      </c>
      <c r="J15" s="64"/>
      <c r="N15" s="64"/>
      <c r="P15" s="53"/>
      <c r="Q15" s="66"/>
      <c r="R15" s="35"/>
    </row>
    <row r="16" s="1" customFormat="1" ht="11.4" spans="2:15">
      <c r="B16" s="1">
        <f>B15+1</f>
        <v>2</v>
      </c>
      <c r="C16" s="1" t="s">
        <v>31</v>
      </c>
      <c r="G16" s="37"/>
      <c r="H16" s="36">
        <f>Q13</f>
        <v>108893.79</v>
      </c>
      <c r="J16" s="42"/>
      <c r="K16" s="42"/>
      <c r="L16" s="37"/>
      <c r="M16" s="37"/>
      <c r="N16" s="66"/>
      <c r="O16" s="66"/>
    </row>
    <row r="17" s="1" customFormat="1" ht="11.4" spans="2:18">
      <c r="B17" s="1">
        <f t="shared" ref="B17:B24" si="4">B16+1</f>
        <v>3</v>
      </c>
      <c r="C17" s="1" t="s">
        <v>32</v>
      </c>
      <c r="G17" s="37"/>
      <c r="H17" s="36">
        <f>S13</f>
        <v>26134.51</v>
      </c>
      <c r="J17" s="42"/>
      <c r="K17" s="42"/>
      <c r="L17" s="37"/>
      <c r="M17" s="37"/>
      <c r="N17" s="35"/>
      <c r="P17" s="35"/>
      <c r="Q17" s="73"/>
      <c r="R17" s="35"/>
    </row>
    <row r="18" s="1" customFormat="1" ht="11.4" spans="2:18">
      <c r="B18" s="1">
        <f t="shared" si="4"/>
        <v>4</v>
      </c>
      <c r="C18" s="38" t="s">
        <v>33</v>
      </c>
      <c r="D18" s="38"/>
      <c r="E18" s="38"/>
      <c r="F18" s="38"/>
      <c r="G18" s="39"/>
      <c r="H18" s="40">
        <v>0</v>
      </c>
      <c r="J18" s="42"/>
      <c r="K18" s="42"/>
      <c r="L18" s="37"/>
      <c r="M18" s="37"/>
      <c r="P18" s="35"/>
      <c r="Q18" s="73"/>
      <c r="R18" s="35"/>
    </row>
    <row r="19" s="1" customFormat="1" ht="11.4" spans="2:18">
      <c r="B19" s="1">
        <f t="shared" si="4"/>
        <v>5</v>
      </c>
      <c r="C19" s="1" t="s">
        <v>34</v>
      </c>
      <c r="H19" s="36">
        <f>P13</f>
        <v>5100</v>
      </c>
      <c r="J19" s="42"/>
      <c r="K19" s="42"/>
      <c r="N19" s="35"/>
      <c r="R19" s="74"/>
    </row>
    <row r="20" s="1" customFormat="1" ht="12" customHeight="1" spans="2:16">
      <c r="B20" s="1">
        <f t="shared" si="4"/>
        <v>6</v>
      </c>
      <c r="C20" s="41" t="s">
        <v>35</v>
      </c>
      <c r="G20" s="42"/>
      <c r="H20" s="43">
        <f>SUM(H13:H19)</f>
        <v>1503059.33</v>
      </c>
      <c r="J20" s="67"/>
      <c r="K20" s="42"/>
      <c r="L20" s="42"/>
      <c r="M20" s="42"/>
      <c r="P20" s="53"/>
    </row>
    <row r="21" s="1" customFormat="1" ht="11.5" customHeight="1" spans="2:14">
      <c r="B21" s="1">
        <f t="shared" si="4"/>
        <v>7</v>
      </c>
      <c r="C21" s="1" t="s">
        <v>36</v>
      </c>
      <c r="H21" s="36">
        <f>K13</f>
        <v>1912500</v>
      </c>
      <c r="N21" s="53"/>
    </row>
    <row r="22" s="1" customFormat="1" ht="12" customHeight="1" spans="2:14">
      <c r="B22" s="1">
        <f t="shared" si="4"/>
        <v>8</v>
      </c>
      <c r="C22" s="1" t="s">
        <v>37</v>
      </c>
      <c r="E22" s="41"/>
      <c r="H22" s="43">
        <f>H21-H20</f>
        <v>409440.67</v>
      </c>
      <c r="N22" s="68"/>
    </row>
    <row r="23" s="1" customFormat="1" ht="12" customHeight="1" spans="2:14">
      <c r="B23" s="1">
        <f t="shared" si="4"/>
        <v>9</v>
      </c>
      <c r="C23" s="44" t="s">
        <v>38</v>
      </c>
      <c r="D23" s="45"/>
      <c r="E23" s="44"/>
      <c r="F23" s="45"/>
      <c r="G23" s="45"/>
      <c r="H23" s="46">
        <f>H22/K9</f>
        <v>842.14</v>
      </c>
      <c r="N23" s="53"/>
    </row>
    <row r="24" s="1" customFormat="1" ht="12" spans="2:14">
      <c r="B24" s="1">
        <f t="shared" si="4"/>
        <v>10</v>
      </c>
      <c r="C24" s="44" t="s">
        <v>39</v>
      </c>
      <c r="D24" s="45"/>
      <c r="E24" s="45"/>
      <c r="F24" s="45"/>
      <c r="G24" s="45"/>
      <c r="H24" s="47">
        <f>H22/K13</f>
        <v>0.2141</v>
      </c>
      <c r="N24" s="53"/>
    </row>
    <row r="25" s="1" customFormat="1" ht="11.4" spans="6:14">
      <c r="F25" s="48"/>
      <c r="N25" s="68"/>
    </row>
    <row r="26" s="1" customFormat="1" ht="12" spans="5:15">
      <c r="E26" s="41"/>
      <c r="F26" s="43"/>
      <c r="N26" s="35"/>
      <c r="O26" s="35"/>
    </row>
    <row r="27" s="4" customFormat="1" ht="13.75" customHeight="1"/>
    <row r="28" spans="3:3">
      <c r="C28" s="49"/>
    </row>
    <row r="29" spans="3:3">
      <c r="C29" s="49"/>
    </row>
    <row r="33" spans="3:3">
      <c r="C33" s="49"/>
    </row>
  </sheetData>
  <mergeCells count="15">
    <mergeCell ref="E9:F9"/>
    <mergeCell ref="A27:XFD27"/>
    <mergeCell ref="B10:B11"/>
    <mergeCell ref="C10:C11"/>
    <mergeCell ref="H10:H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  <pageSetup paperSize="1" scale="56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расчет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Zhumakanov Alisher</cp:lastModifiedBy>
  <dcterms:created xsi:type="dcterms:W3CDTF">2015-06-05T18:19:00Z</dcterms:created>
  <dcterms:modified xsi:type="dcterms:W3CDTF">2026-07-13T07:47:13Z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4549C1EFAC094CCB9A66867E128C5C9F_12</vt:lpwstr>
  </property>
  <property fmtid="{D5CDD505-2E9C-101B-9397-08002B2CF9AE}" pid="3" name="KSOProductBuildVer">
    <vt:lpwstr>1049-12.2.0.23202</vt:lpwstr>
  </property>
</Properties>
</file>