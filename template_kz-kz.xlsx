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асче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<sst xmlns="http://schemas.openxmlformats.org/spreadsheetml/2006/main" count="44" uniqueCount="42">
  <si>
    <t xml:space="preserve">Батыр</t>
  </si>
  <si>
    <t xml:space="preserve">лот T-0003701</t>
  </si>
  <si>
    <t xml:space="preserve">RG GOLD</t>
  </si>
  <si>
    <t xml:space="preserve">Дата:24.06.2026</t>
  </si>
  <si>
    <t xml:space="preserve">Дата начала лота:19.06.2026 </t>
  </si>
  <si>
    <t xml:space="preserve">Дата окончания лота: 25.06.2026</t>
  </si>
  <si>
    <t xml:space="preserve">Срок производства: 10 дн</t>
  </si>
  <si>
    <t xml:space="preserve">коэф. наценки</t>
  </si>
  <si>
    <t xml:space="preserve">курс $, тнг</t>
  </si>
  <si>
    <t xml:space="preserve">покупка</t>
  </si>
  <si>
    <t xml:space="preserve"> </t>
  </si>
  <si>
    <t xml:space="preserve">№</t>
  </si>
  <si>
    <t xml:space="preserve">Наименование</t>
  </si>
  <si>
    <t xml:space="preserve">Кол-во</t>
  </si>
  <si>
    <t xml:space="preserve">Цена DDP        (+ НДС)   </t>
  </si>
  <si>
    <t xml:space="preserve">Сумма DDP</t>
  </si>
  <si>
    <t xml:space="preserve">НДС</t>
  </si>
  <si>
    <t xml:space="preserve">Сумма без НДС</t>
  </si>
  <si>
    <t xml:space="preserve">Цена</t>
  </si>
  <si>
    <t xml:space="preserve">Сумма продажи    с НДС</t>
  </si>
  <si>
    <t xml:space="preserve">НДС от реализации</t>
  </si>
  <si>
    <t xml:space="preserve">НДС к доплате</t>
  </si>
  <si>
    <t xml:space="preserve">Цена реализации без НДС</t>
  </si>
  <si>
    <t xml:space="preserve">Грязная прибыль </t>
  </si>
  <si>
    <t xml:space="preserve">Банк.обслуж</t>
  </si>
  <si>
    <t xml:space="preserve">Налог на прибыль</t>
  </si>
  <si>
    <t xml:space="preserve">Прибыль</t>
  </si>
  <si>
    <t xml:space="preserve">Кэш - 6%</t>
  </si>
  <si>
    <t xml:space="preserve">Доп.расходы
(прочее)</t>
  </si>
  <si>
    <t xml:space="preserve">тонн</t>
  </si>
  <si>
    <t xml:space="preserve">kzt</t>
  </si>
  <si>
    <t xml:space="preserve">Песок (отсев) + доставка</t>
  </si>
  <si>
    <t xml:space="preserve">Цена реализации без НДС, за ед.:</t>
  </si>
  <si>
    <t xml:space="preserve">Налог на прибыль 20%</t>
  </si>
  <si>
    <t xml:space="preserve">Налог на дивид. и обнал 6%</t>
  </si>
  <si>
    <t xml:space="preserve">Дорога</t>
  </si>
  <si>
    <t xml:space="preserve">Обслуживание банка 0,4%</t>
  </si>
  <si>
    <t xml:space="preserve">Итого расходы  </t>
  </si>
  <si>
    <t xml:space="preserve">Сумма контракт</t>
  </si>
  <si>
    <t xml:space="preserve">Прибыль, kzt</t>
  </si>
  <si>
    <t xml:space="preserve">Прибыль, usd</t>
  </si>
  <si>
    <t xml:space="preserve">Прибыль, %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</si>
</sst>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00"/>
    <numFmt numFmtId="167" formatCode="_-* #\ ##0.000_р_._-;\-* #\ ##0.000_р_._-;_-* \-??_р_._-;_-@_-"/>
    <numFmt numFmtId="168" formatCode="#\ ##0.00\ [$₸-43F]"/>
    <numFmt numFmtId="169" formatCode="#\ ##0.00"/>
    <numFmt numFmtId="170" formatCode="General"/>
    <numFmt numFmtId="171" formatCode="[$$-C09]#\ ##0.00;\-[$$-C09]#\ ##0.00"/>
    <numFmt numFmtId="172" formatCode="#\ ##0.00\ [$₸-43F];\-#\ ##0.00\ [$₸-43F]"/>
    <numFmt numFmtId="173" formatCode="[$$-409]#\ ##0.00"/>
    <numFmt numFmtId="174" formatCode="_-* #\ ##0.00_р_._-;\-* #\ ##0.00_р_._-;_-* \-??_р_._-;_-@_-"/>
    <numFmt numFmtId="175" formatCode="0"/>
    <numFmt numFmtId="176" formatCode="_-* #\ ##0.00\ _₽_-;\-* #\ ##0.00\ _₽_-;_-* \-??\ _₽_-;_-@_-"/>
    <numFmt numFmtId="177" formatCode="0.00%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1"/>
      <color theme="1"/>
      <name val="Arial"/>
      <family val="0"/>
      <charset val="204"/>
    </font>
    <font>
      <b val="true"/>
      <i val="true"/>
      <sz val="11"/>
      <color rgb="FF0000FF"/>
      <name val="Arial"/>
      <family val="0"/>
      <charset val="204"/>
    </font>
    <font>
      <b val="true"/>
      <i val="true"/>
      <sz val="11"/>
      <color theme="4" tint="-0.5"/>
      <name val="Arial"/>
      <family val="0"/>
      <charset val="204"/>
    </font>
    <font>
      <sz val="12"/>
      <color theme="1"/>
      <name val="Arial"/>
      <family val="0"/>
      <charset val="204"/>
    </font>
    <font>
      <i val="true"/>
      <sz val="11"/>
      <color rgb="FF0000FF"/>
      <name val="Arial"/>
      <family val="0"/>
      <charset val="204"/>
    </font>
    <font>
      <i val="true"/>
      <sz val="11"/>
      <color rgb="FF0000FF"/>
      <name val="Arial"/>
      <family val="0"/>
      <charset val="134"/>
    </font>
    <font>
      <b val="true"/>
      <i val="true"/>
      <sz val="11"/>
      <color rgb="FF0000FF"/>
      <name val="Arial"/>
      <family val="0"/>
      <charset val="134"/>
    </font>
    <font>
      <sz val="9"/>
      <color theme="1"/>
      <name val="Arial"/>
      <family val="0"/>
      <charset val="134"/>
    </font>
    <font>
      <b val="true"/>
      <sz val="9"/>
      <color rgb="FFFF0000"/>
      <name val="Arial"/>
      <family val="0"/>
      <charset val="134"/>
    </font>
    <font>
      <b val="true"/>
      <sz val="9"/>
      <color theme="1"/>
      <name val="Arial"/>
      <family val="0"/>
      <charset val="134"/>
    </font>
    <font>
      <b val="true"/>
      <sz val="9"/>
      <color theme="1"/>
      <name val="Arial"/>
      <family val="0"/>
      <charset val="204"/>
    </font>
    <font>
      <i val="true"/>
      <sz val="9"/>
      <color theme="1"/>
      <name val="Arial"/>
      <family val="0"/>
      <charset val="134"/>
    </font>
    <font>
      <i val="true"/>
      <sz val="9"/>
      <color rgb="FF000000"/>
      <name val="Arial"/>
      <family val="0"/>
      <charset val="134"/>
    </font>
    <font>
      <b val="true"/>
      <sz val="9"/>
      <name val="Arial"/>
      <family val="0"/>
      <charset val="134"/>
    </font>
    <font>
      <sz val="9"/>
      <name val="Arial"/>
      <family val="0"/>
      <charset val="1"/>
    </font>
    <font>
      <sz val="9"/>
      <name val="Arial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3" tint="0.7999"/>
        <bgColor rgb="FFCCFFCC"/>
      </patternFill>
    </fill>
    <fill>
      <patternFill patternType="solid">
        <fgColor theme="0"/>
        <bgColor rgb="FFFFFFCC"/>
      </patternFill>
    </fill>
    <fill>
      <patternFill patternType="solid">
        <fgColor theme="7" tint="0.5999"/>
        <bgColor rgb="FFFFCC9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4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4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4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3" xfId="20"/>
    <cellStyle name="Стиль 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T33"/>
  <sheetViews>
    <sheetView showFormulas="false" showGridLines="true" showRowColHeaders="true" showZeros="true" rightToLeft="false" tabSelected="true" showOutlineSymbols="true" defaultGridColor="true" view="normal" topLeftCell="D1" colorId="64" zoomScale="85" zoomScaleNormal="85" zoomScalePageLayoutView="100" workbookViewId="0">
      <selection pane="topLeft" activeCell="K12" activeCellId="0" sqref="K12"/>
    </sheetView>
  </sheetViews>
  <sheetFormatPr defaultColWidth="9.18359375" defaultRowHeight="13.5" zeroHeight="false" outlineLevelRow="0" outlineLevelCol="0"/>
  <cols>
    <col collapsed="false" customWidth="true" hidden="false" outlineLevel="0" max="1" min="1" style="1" width="2.81"/>
    <col collapsed="false" customWidth="true" hidden="false" outlineLevel="0" max="2" min="2" style="1" width="3.18"/>
    <col collapsed="false" customWidth="true" hidden="false" outlineLevel="0" max="3" min="3" style="1" width="45.55"/>
    <col collapsed="false" customWidth="true" hidden="false" outlineLevel="0" max="4" min="4" style="1" width="9.55"/>
    <col collapsed="false" customWidth="true" hidden="false" outlineLevel="0" max="5" min="5" style="1" width="11.55"/>
    <col collapsed="false" customWidth="true" hidden="false" outlineLevel="0" max="6" min="6" style="1" width="13.45"/>
    <col collapsed="false" customWidth="true" hidden="false" outlineLevel="0" max="7" min="7" style="1" width="11.81"/>
    <col collapsed="false" customWidth="true" hidden="false" outlineLevel="0" max="8" min="8" style="1" width="13.55"/>
    <col collapsed="false" customWidth="true" hidden="false" outlineLevel="0" max="9" min="9" style="1" width="2.45"/>
    <col collapsed="false" customWidth="true" hidden="false" outlineLevel="0" max="10" min="10" style="1" width="12.55"/>
    <col collapsed="false" customWidth="true" hidden="false" outlineLevel="0" max="11" min="11" style="1" width="13.55"/>
    <col collapsed="false" customWidth="true" hidden="false" outlineLevel="0" max="12" min="12" style="1" width="12.55"/>
    <col collapsed="false" customWidth="true" hidden="false" outlineLevel="0" max="13" min="13" style="1" width="11.81"/>
    <col collapsed="false" customWidth="true" hidden="false" outlineLevel="0" max="14" min="14" style="1" width="15.18"/>
    <col collapsed="false" customWidth="true" hidden="false" outlineLevel="0" max="15" min="15" style="1" width="13.45"/>
    <col collapsed="false" customWidth="true" hidden="false" outlineLevel="0" max="16" min="16" style="1" width="11.55"/>
    <col collapsed="false" customWidth="true" hidden="false" outlineLevel="0" max="17" min="17" style="1" width="14.45"/>
    <col collapsed="false" customWidth="true" hidden="false" outlineLevel="0" max="18" min="18" style="1" width="14"/>
    <col collapsed="false" customWidth="true" hidden="false" outlineLevel="0" max="19" min="19" style="1" width="11.45"/>
    <col collapsed="false" customWidth="true" hidden="false" outlineLevel="0" max="20" min="20" style="1" width="13.45"/>
    <col collapsed="false" customWidth="false" hidden="false" outlineLevel="0" max="16384" min="21" style="1" width="9.18"/>
  </cols>
  <sheetData>
    <row r="2" customFormat="false" ht="15" hidden="false" customHeight="true" outlineLevel="0" collapsed="false">
      <c r="B2" s="2" t="s">
        <v>0</v>
      </c>
      <c r="C2" s="3"/>
      <c r="K2" s="4"/>
      <c r="R2" s="5" t="s">
        <v>1</v>
      </c>
      <c r="S2" s="5"/>
    </row>
    <row r="3" customFormat="false" ht="14.25" hidden="false" customHeight="true" outlineLevel="0" collapsed="false">
      <c r="B3" s="2" t="s">
        <v>2</v>
      </c>
      <c r="C3" s="3"/>
      <c r="K3" s="4"/>
    </row>
    <row r="4" customFormat="false" ht="14.25" hidden="false" customHeight="true" outlineLevel="0" collapsed="false">
      <c r="B4" s="6" t="s">
        <v>3</v>
      </c>
      <c r="C4" s="3"/>
      <c r="K4" s="4"/>
    </row>
    <row r="5" customFormat="false" ht="14.25" hidden="false" customHeight="true" outlineLevel="0" collapsed="false">
      <c r="B5" s="7" t="s">
        <v>4</v>
      </c>
      <c r="C5" s="3"/>
      <c r="K5" s="4"/>
    </row>
    <row r="6" customFormat="false" ht="14.25" hidden="false" customHeight="true" outlineLevel="0" collapsed="false">
      <c r="B6" s="6" t="s">
        <v>5</v>
      </c>
      <c r="C6" s="3"/>
      <c r="K6" s="4"/>
    </row>
    <row r="7" customFormat="false" ht="14.25" hidden="false" customHeight="true" outlineLevel="0" collapsed="false">
      <c r="B7" s="6" t="s">
        <v>6</v>
      </c>
      <c r="C7" s="3"/>
      <c r="K7" s="4"/>
    </row>
    <row r="8" customFormat="false" ht="14.25" hidden="false" customHeight="true" outlineLevel="0" collapsed="false">
      <c r="B8" s="8"/>
      <c r="C8" s="3"/>
      <c r="J8" s="9" t="s">
        <v>7</v>
      </c>
      <c r="K8" s="10" t="s">
        <v>8</v>
      </c>
    </row>
    <row r="9" s="11" customFormat="true" ht="15" hidden="false" customHeight="true" outlineLevel="0" collapsed="false">
      <c r="C9" s="12"/>
      <c r="E9" s="13" t="s">
        <v>9</v>
      </c>
      <c r="F9" s="13"/>
      <c r="J9" s="14" t="n">
        <v>1.5</v>
      </c>
      <c r="K9" s="14" t="n">
        <v>486.19</v>
      </c>
      <c r="N9" s="15"/>
      <c r="P9" s="16"/>
    </row>
    <row r="10" s="17" customFormat="true" ht="24" hidden="false" customHeight="true" outlineLevel="0" collapsed="false">
      <c r="A10" s="17" t="s">
        <v>10</v>
      </c>
      <c r="B10" s="18" t="s">
        <v>11</v>
      </c>
      <c r="C10" s="19" t="s">
        <v>12</v>
      </c>
      <c r="D10" s="20" t="s">
        <v>13</v>
      </c>
      <c r="E10" s="21" t="s">
        <v>14</v>
      </c>
      <c r="F10" s="22" t="s">
        <v>15</v>
      </c>
      <c r="G10" s="22" t="s">
        <v>16</v>
      </c>
      <c r="H10" s="23" t="s">
        <v>17</v>
      </c>
      <c r="I10" s="24"/>
      <c r="J10" s="25" t="s">
        <v>18</v>
      </c>
      <c r="K10" s="26" t="s">
        <v>19</v>
      </c>
      <c r="L10" s="26" t="s">
        <v>20</v>
      </c>
      <c r="M10" s="26" t="s">
        <v>21</v>
      </c>
      <c r="N10" s="26" t="s">
        <v>22</v>
      </c>
      <c r="O10" s="26" t="s">
        <v>23</v>
      </c>
      <c r="P10" s="27" t="s">
        <v>24</v>
      </c>
      <c r="Q10" s="26" t="s">
        <v>25</v>
      </c>
      <c r="R10" s="27" t="s">
        <v>26</v>
      </c>
      <c r="S10" s="28" t="s">
        <v>27</v>
      </c>
      <c r="T10" s="29" t="s">
        <v>28</v>
      </c>
    </row>
    <row r="11" s="17" customFormat="true" ht="11.25" hidden="false" customHeight="true" outlineLevel="0" collapsed="false">
      <c r="B11" s="18"/>
      <c r="C11" s="19"/>
      <c r="D11" s="30" t="s">
        <v>29</v>
      </c>
      <c r="E11" s="31" t="s">
        <v>30</v>
      </c>
      <c r="F11" s="32" t="s">
        <v>30</v>
      </c>
      <c r="G11" s="32"/>
      <c r="H11" s="23"/>
      <c r="I11" s="24"/>
      <c r="J11" s="25"/>
      <c r="K11" s="26"/>
      <c r="L11" s="26"/>
      <c r="M11" s="26"/>
      <c r="N11" s="26"/>
      <c r="O11" s="26"/>
      <c r="P11" s="26"/>
      <c r="Q11" s="26"/>
      <c r="R11" s="26"/>
      <c r="S11" s="28"/>
      <c r="T11" s="29"/>
    </row>
    <row r="12" s="17" customFormat="true" ht="26.25" hidden="false" customHeight="true" outlineLevel="0" collapsed="false">
      <c r="B12" s="33" t="n">
        <v>1</v>
      </c>
      <c r="C12" s="34" t="s">
        <v>31</v>
      </c>
      <c r="D12" s="35" t="n">
        <v>150</v>
      </c>
      <c r="E12" s="36" t="n">
        <v>8500</v>
      </c>
      <c r="F12" s="36" t="n">
        <f aca="false">E12*D12</f>
        <v>1275000</v>
      </c>
      <c r="G12" s="36" t="n">
        <f aca="false">F12*16/116</f>
        <v>175862.068965517</v>
      </c>
      <c r="H12" s="37" t="n">
        <f aca="false">F12-G12</f>
        <v>1099137.93103448</v>
      </c>
      <c r="I12" s="24"/>
      <c r="J12" s="38" t="n">
        <f aca="false">E12*$J$9</f>
        <v>12750</v>
      </c>
      <c r="K12" s="36" t="n">
        <f aca="false">J12*D12</f>
        <v>1912500</v>
      </c>
      <c r="L12" s="36" t="n">
        <f aca="false">K12*16/116</f>
        <v>263793.103448276</v>
      </c>
      <c r="M12" s="36" t="n">
        <f aca="false">L12-G12</f>
        <v>87931.0344827586</v>
      </c>
      <c r="N12" s="36" t="n">
        <f aca="false">K12-L12</f>
        <v>1648706.89655172</v>
      </c>
      <c r="O12" s="36" t="n">
        <f aca="false">N12-H12</f>
        <v>549568.965517241</v>
      </c>
      <c r="P12" s="36" t="n">
        <f aca="false">F12*0.4%</f>
        <v>5100</v>
      </c>
      <c r="Q12" s="36" t="n">
        <f aca="false">(O12-P12)*20%</f>
        <v>108893.793103448</v>
      </c>
      <c r="R12" s="36" t="n">
        <f aca="false">O12-Q12-P12-T12</f>
        <v>435575.172413793</v>
      </c>
      <c r="S12" s="37" t="n">
        <f aca="false">R12*0.06</f>
        <v>26134.5103448276</v>
      </c>
      <c r="T12" s="39" t="n">
        <v>0</v>
      </c>
    </row>
    <row r="13" s="40" customFormat="true" ht="12" hidden="false" customHeight="true" outlineLevel="0" collapsed="false">
      <c r="B13" s="41"/>
      <c r="C13" s="42"/>
      <c r="D13" s="43" t="n">
        <f aca="false">SUM(D12)</f>
        <v>150</v>
      </c>
      <c r="E13" s="44"/>
      <c r="F13" s="45" t="n">
        <f aca="false">SUM(F12:F12)</f>
        <v>1275000</v>
      </c>
      <c r="G13" s="45" t="n">
        <f aca="false">SUM(G12:G12)</f>
        <v>175862.068965517</v>
      </c>
      <c r="H13" s="46" t="n">
        <f aca="false">SUM(H12:H12)</f>
        <v>1099137.93103448</v>
      </c>
      <c r="I13" s="47"/>
      <c r="J13" s="48"/>
      <c r="K13" s="45" t="n">
        <f aca="false">SUM(K12:K12)</f>
        <v>1912500</v>
      </c>
      <c r="L13" s="45" t="n">
        <f aca="false">SUM(L12:L12)</f>
        <v>263793.103448276</v>
      </c>
      <c r="M13" s="45" t="n">
        <f aca="false">SUM(M12:M12)</f>
        <v>87931.0344827586</v>
      </c>
      <c r="N13" s="45" t="n">
        <f aca="false">SUM(N12:N12)</f>
        <v>1648706.89655172</v>
      </c>
      <c r="O13" s="45" t="n">
        <f aca="false">SUM(O12:O12)</f>
        <v>549568.965517241</v>
      </c>
      <c r="P13" s="45" t="n">
        <f aca="false">SUM(P12:P12)</f>
        <v>5100</v>
      </c>
      <c r="Q13" s="45" t="n">
        <f aca="false">SUM(Q12:Q12)</f>
        <v>108893.793103448</v>
      </c>
      <c r="R13" s="45" t="n">
        <f aca="false">SUM(R12:R12)</f>
        <v>435575.172413793</v>
      </c>
      <c r="S13" s="46" t="n">
        <f aca="false">SUM(S12:S12)</f>
        <v>26134.5103448276</v>
      </c>
      <c r="T13" s="49" t="n">
        <f aca="false">SUM(T12:T12)</f>
        <v>0</v>
      </c>
    </row>
    <row r="14" s="11" customFormat="true" ht="11.25" hidden="false" customHeight="true" outlineLevel="0" collapsed="false">
      <c r="G14" s="50"/>
      <c r="J14" s="51"/>
      <c r="M14" s="52" t="s">
        <v>32</v>
      </c>
      <c r="N14" s="53" t="n">
        <f aca="false">N12/D12</f>
        <v>10991.3793103448</v>
      </c>
      <c r="P14" s="16"/>
      <c r="Q14" s="54"/>
    </row>
    <row r="15" s="11" customFormat="true" ht="11.25" hidden="false" customHeight="true" outlineLevel="0" collapsed="false">
      <c r="B15" s="11" t="n">
        <v>1</v>
      </c>
      <c r="C15" s="11" t="s">
        <v>16</v>
      </c>
      <c r="H15" s="50" t="n">
        <f aca="false">G13+M13</f>
        <v>263793.103448276</v>
      </c>
      <c r="J15" s="51"/>
      <c r="N15" s="51"/>
      <c r="P15" s="16"/>
      <c r="Q15" s="54"/>
      <c r="R15" s="50"/>
    </row>
    <row r="16" s="11" customFormat="true" ht="11.25" hidden="false" customHeight="true" outlineLevel="0" collapsed="false">
      <c r="B16" s="11" t="n">
        <f aca="false">B15+1</f>
        <v>2</v>
      </c>
      <c r="C16" s="11" t="s">
        <v>33</v>
      </c>
      <c r="G16" s="55"/>
      <c r="H16" s="50" t="n">
        <f aca="false">Q13</f>
        <v>108893.793103448</v>
      </c>
      <c r="J16" s="56"/>
      <c r="K16" s="56"/>
      <c r="L16" s="55"/>
      <c r="M16" s="55"/>
      <c r="N16" s="54"/>
      <c r="O16" s="54"/>
    </row>
    <row r="17" s="11" customFormat="true" ht="11.25" hidden="false" customHeight="true" outlineLevel="0" collapsed="false">
      <c r="B17" s="11" t="n">
        <f aca="false">B16+1</f>
        <v>3</v>
      </c>
      <c r="C17" s="11" t="s">
        <v>34</v>
      </c>
      <c r="G17" s="55"/>
      <c r="H17" s="50" t="n">
        <f aca="false">S13</f>
        <v>26134.5103448276</v>
      </c>
      <c r="J17" s="56"/>
      <c r="K17" s="56"/>
      <c r="L17" s="55"/>
      <c r="M17" s="55"/>
      <c r="N17" s="50"/>
      <c r="P17" s="50"/>
      <c r="Q17" s="57"/>
      <c r="R17" s="50"/>
    </row>
    <row r="18" s="11" customFormat="true" ht="11.25" hidden="false" customHeight="true" outlineLevel="0" collapsed="false">
      <c r="B18" s="11" t="n">
        <f aca="false">B17+1</f>
        <v>4</v>
      </c>
      <c r="C18" s="58" t="s">
        <v>35</v>
      </c>
      <c r="D18" s="58"/>
      <c r="E18" s="58"/>
      <c r="F18" s="58"/>
      <c r="G18" s="59"/>
      <c r="H18" s="60" t="n">
        <v>0</v>
      </c>
      <c r="J18" s="56"/>
      <c r="K18" s="56"/>
      <c r="L18" s="55"/>
      <c r="M18" s="55"/>
      <c r="P18" s="50"/>
      <c r="Q18" s="57"/>
      <c r="R18" s="50"/>
    </row>
    <row r="19" s="11" customFormat="true" ht="11.25" hidden="false" customHeight="true" outlineLevel="0" collapsed="false">
      <c r="B19" s="11" t="n">
        <f aca="false">B18+1</f>
        <v>5</v>
      </c>
      <c r="C19" s="11" t="s">
        <v>36</v>
      </c>
      <c r="H19" s="50" t="n">
        <f aca="false">P13</f>
        <v>5100</v>
      </c>
      <c r="J19" s="56"/>
      <c r="K19" s="56"/>
      <c r="N19" s="50"/>
      <c r="R19" s="61"/>
    </row>
    <row r="20" s="11" customFormat="true" ht="12" hidden="false" customHeight="true" outlineLevel="0" collapsed="false">
      <c r="B20" s="11" t="n">
        <f aca="false">B19+1</f>
        <v>6</v>
      </c>
      <c r="C20" s="62" t="s">
        <v>37</v>
      </c>
      <c r="G20" s="56"/>
      <c r="H20" s="47" t="n">
        <f aca="false">SUM(H13:H19)+T13</f>
        <v>1503059.33793103</v>
      </c>
      <c r="J20" s="63"/>
      <c r="K20" s="56"/>
      <c r="L20" s="56"/>
      <c r="M20" s="56"/>
      <c r="P20" s="16"/>
    </row>
    <row r="21" s="11" customFormat="true" ht="11.25" hidden="false" customHeight="true" outlineLevel="0" collapsed="false">
      <c r="B21" s="11" t="n">
        <f aca="false">B20+1</f>
        <v>7</v>
      </c>
      <c r="C21" s="11" t="s">
        <v>38</v>
      </c>
      <c r="H21" s="50" t="n">
        <f aca="false">K13</f>
        <v>1912500</v>
      </c>
      <c r="N21" s="16"/>
    </row>
    <row r="22" s="11" customFormat="true" ht="12" hidden="false" customHeight="true" outlineLevel="0" collapsed="false">
      <c r="B22" s="11" t="n">
        <f aca="false">B21+1</f>
        <v>8</v>
      </c>
      <c r="C22" s="11" t="s">
        <v>39</v>
      </c>
      <c r="E22" s="62"/>
      <c r="H22" s="47" t="n">
        <f aca="false">H21-H20</f>
        <v>409440.662068965</v>
      </c>
      <c r="N22" s="64"/>
    </row>
    <row r="23" s="11" customFormat="true" ht="12" hidden="false" customHeight="true" outlineLevel="0" collapsed="false">
      <c r="B23" s="11" t="n">
        <f aca="false">B22+1</f>
        <v>9</v>
      </c>
      <c r="C23" s="65" t="s">
        <v>40</v>
      </c>
      <c r="D23" s="66"/>
      <c r="E23" s="65"/>
      <c r="F23" s="66"/>
      <c r="G23" s="66"/>
      <c r="H23" s="67" t="n">
        <f aca="false">H22/K9</f>
        <v>842.141265902148</v>
      </c>
      <c r="N23" s="16"/>
    </row>
    <row r="24" s="11" customFormat="true" ht="12" hidden="false" customHeight="true" outlineLevel="0" collapsed="false">
      <c r="B24" s="11" t="n">
        <f aca="false">B23+1</f>
        <v>10</v>
      </c>
      <c r="C24" s="65" t="s">
        <v>41</v>
      </c>
      <c r="D24" s="66"/>
      <c r="E24" s="66"/>
      <c r="F24" s="66"/>
      <c r="G24" s="66"/>
      <c r="H24" s="68" t="n">
        <f aca="false">H22/K13</f>
        <v>0.214086620689655</v>
      </c>
      <c r="N24" s="16"/>
    </row>
    <row r="25" s="11" customFormat="true" ht="11.25" hidden="false" customHeight="true" outlineLevel="0" collapsed="false">
      <c r="F25" s="63"/>
      <c r="N25" s="64"/>
    </row>
    <row r="26" s="11" customFormat="true" ht="12" hidden="false" customHeight="true" outlineLevel="0" collapsed="false">
      <c r="E26" s="62"/>
      <c r="F26" s="47"/>
      <c r="N26" s="50"/>
      <c r="O26" s="50"/>
    </row>
    <row r="27" s="69" customFormat="true" ht="13.5" hidden="false" customHeight="true" outlineLevel="0" collapsed="false"/>
    <row r="28" customFormat="false" ht="13.5" hidden="false" customHeight="true" outlineLevel="0" collapsed="false">
      <c r="C28" s="70"/>
    </row>
    <row r="29" customFormat="false" ht="13.5" hidden="false" customHeight="true" outlineLevel="0" collapsed="false">
      <c r="C29" s="70"/>
    </row>
    <row r="33" customFormat="false" ht="13.5" hidden="false" customHeight="true" outlineLevel="0" collapsed="false">
      <c r="C33" s="70"/>
    </row>
  </sheetData>
  <mergeCells count="15">
    <mergeCell ref="E9:F9"/>
    <mergeCell ref="B10:B11"/>
    <mergeCell ref="C10:C11"/>
    <mergeCell ref="H10:H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openpyxl</dc:creator>
  <dc:description/>
  <dc:language>en-US</dc:language>
  <cp:lastModifiedBy>Zhumakanov Alisher</cp:lastModifiedBy>
  <dcterms:modified xsi:type="dcterms:W3CDTF">2026-07-14T09:16:10Z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4549C1EFAC094CCB9A66867E128C5C9F_12</vt:lpwstr>
  </property>
  <property fmtid="{D5CDD505-2E9C-101B-9397-08002B2CF9AE}" pid="3" name="KSOProductBuildVer">
    <vt:lpwstr>1049-12.2.0.23202</vt:lpwstr>
  </property>
</Properties>
</file>