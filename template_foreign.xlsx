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tabRatio="500"/>
  </bookViews>
  <sheets>
    <sheet name="расче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<sst xmlns="http://schemas.openxmlformats.org/spreadsheetml/2006/main" count="74" uniqueCount="66">
  <si>
    <t>Айгуль</t>
  </si>
  <si>
    <t xml:space="preserve">лот </t>
  </si>
  <si>
    <t>RG Gold</t>
  </si>
  <si>
    <t>Дата: 13.07.2026</t>
  </si>
  <si>
    <t xml:space="preserve">Дата начала лота: </t>
  </si>
  <si>
    <t>Дата окончания лота:</t>
  </si>
  <si>
    <t>Срок производства: 120 календарных дней</t>
  </si>
  <si>
    <t>Срок поставки: 30 календарных дней</t>
  </si>
  <si>
    <t>Дорога, всего (тнг)</t>
  </si>
  <si>
    <t>Коэфф. наценки</t>
  </si>
  <si>
    <t>Пошлина (блок 2), %:</t>
  </si>
  <si>
    <t>НДС на ввоз, %</t>
  </si>
  <si>
    <t>Кол-во ГТД</t>
  </si>
  <si>
    <t>Валюта закупки:</t>
  </si>
  <si>
    <t>USD</t>
  </si>
  <si>
    <t>Цена FCA (F12) — в валюте</t>
  </si>
  <si>
    <t>закупки (см. AD8), без пересчёта</t>
  </si>
  <si>
    <t>Предварительный курс:</t>
  </si>
  <si>
    <t>№</t>
  </si>
  <si>
    <t>Наименование</t>
  </si>
  <si>
    <t>Ед.изм</t>
  </si>
  <si>
    <t>Кол-во</t>
  </si>
  <si>
    <t>Покупка FCA</t>
  </si>
  <si>
    <t>Дорога</t>
  </si>
  <si>
    <t>DAP</t>
  </si>
  <si>
    <t>Вход DAP</t>
  </si>
  <si>
    <t>Там.оформ.</t>
  </si>
  <si>
    <t>DDP</t>
  </si>
  <si>
    <t>Продажа</t>
  </si>
  <si>
    <t>Подача</t>
  </si>
  <si>
    <t>Ставка
пошлины, %</t>
  </si>
  <si>
    <t>Кол-во машин
(= кол-во ГТД)</t>
  </si>
  <si>
    <t>Доп.расходы
(прочее)</t>
  </si>
  <si>
    <t>Цена</t>
  </si>
  <si>
    <t xml:space="preserve">Сумма </t>
  </si>
  <si>
    <t>Сумма</t>
  </si>
  <si>
    <t>Имп. 
пошлина</t>
  </si>
  <si>
    <t>НДС
вход</t>
  </si>
  <si>
    <t>Накладные</t>
  </si>
  <si>
    <t>Сборы</t>
  </si>
  <si>
    <t>Цена
$/шт</t>
  </si>
  <si>
    <t>Сумма 
$</t>
  </si>
  <si>
    <t>Цена без НДС
$/шт</t>
  </si>
  <si>
    <t>Сумма без НДС
$</t>
  </si>
  <si>
    <t>НДС реализация</t>
  </si>
  <si>
    <t>НДС к доплате
eur</t>
  </si>
  <si>
    <t>Цена с НДС
$/шт</t>
  </si>
  <si>
    <t>Сумма с НДС
$</t>
  </si>
  <si>
    <t>Цена без НДС
тнг/шт</t>
  </si>
  <si>
    <t>Сумма без НДС
тнг</t>
  </si>
  <si>
    <t>НДС к доплате
тнг</t>
  </si>
  <si>
    <t>Цена с НДС
тнг/шт</t>
  </si>
  <si>
    <t>Сумма с НДС
тнг</t>
  </si>
  <si>
    <t>Мобильный разгрузчик самосвалов на колесному ходу</t>
  </si>
  <si>
    <t>шт</t>
  </si>
  <si>
    <t>Итого:</t>
  </si>
  <si>
    <t xml:space="preserve">Разница </t>
  </si>
  <si>
    <t>Обслуживание банка</t>
  </si>
  <si>
    <t>Наллог на прибыль (20%)</t>
  </si>
  <si>
    <t>Страна происхождения:КНР</t>
  </si>
  <si>
    <t>Налог на дивиденды и обнал</t>
  </si>
  <si>
    <t>ТНВЭД: 8428330000</t>
  </si>
  <si>
    <t>Прибыль (чистая):</t>
  </si>
  <si>
    <t>Кол-во подвижных / вид транспорта:</t>
  </si>
  <si>
    <t>Прибыль (чистая)</t>
  </si>
  <si>
    <t>Итого прибыль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</si>
</sst>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176" formatCode="_-* #\ ##0.00_-;\-* #\ ##0.00_-;_-* &quot;-&quot;??_-;_-@_-"/>
    <numFmt numFmtId="177" formatCode="_-&quot;₽&quot;* #\ ##0.00_-;\-&quot;₽&quot;* #\ ##0.00_-;_-&quot;₽&quot;* &quot;-&quot;??_-;_-@_-"/>
    <numFmt numFmtId="178" formatCode="_-* #\ ##0_-;\-* #\ ##0_-;_-* &quot;-&quot;_-;_-@_-"/>
    <numFmt numFmtId="179" formatCode="_-* #\ ##0_-;\-&quot;₽&quot;* #\ ##0_-;_-&quot;₽&quot;* &quot;-&quot;_-;_-@_-"/>
    <numFmt numFmtId="180" formatCode="_-* #\ ##0.00_-;\-* #\ ##0.00_-;_-* \-??_-;_-@_-"/>
    <numFmt numFmtId="181" formatCode="_-[$$-409]* #\ ##0.00_ ;_-[$$-409]* \-#\ ##0.00\ ;_-[$$-409]* \-??_ ;_-@_ "/>
    <numFmt numFmtId="182" formatCode="[$$-409]#\ ##0.00"/>
    <numFmt numFmtId="183" formatCode="#\ ##0"/>
    <numFmt numFmtId="184" formatCode="#\ ##0.00"/>
    <numFmt numFmtId="185" formatCode="#\ ##0.00&quot; ₸&quot;"/>
    <numFmt numFmtId="186" formatCode="[$$-C09]#\ ##0.00;\-[$$-C09]#\ ##0.00"/>
    <numFmt numFmtId="187" formatCode="0.0%"/>
    <numFmt numFmtId="188" formatCode="[$$-1009]#\ ##0.00"/>
    <numFmt numFmtId="189" formatCode="[$€-2]\ #\ ##0.00"/>
    <numFmt numFmtId="190" formatCode="#\ ##0.00\ _₽"/>
    <numFmt numFmtId="191" formatCode="#\ ##0.00\ [$₸-43F]"/>
  </numFmts>
  <fonts count="52">
    <font>
      <sz val="11"/>
      <color theme="1"/>
      <name val="Calibri"/>
      <charset val="134"/>
    </font>
    <font>
      <sz val="9"/>
      <color theme="1"/>
      <name val="Arial"/>
      <charset val="204"/>
    </font>
    <font>
      <sz val="10"/>
      <color theme="1"/>
      <name val="Arial"/>
      <charset val="204"/>
    </font>
    <font>
      <sz val="11"/>
      <color theme="1"/>
      <name val="Arial"/>
      <charset val="204"/>
    </font>
    <font>
      <b/>
      <i/>
      <sz val="11"/>
      <color rgb="FF0000FF"/>
      <name val="Arial"/>
      <charset val="204"/>
    </font>
    <font>
      <b/>
      <i/>
      <sz val="11"/>
      <color theme="4" tint="-0.5"/>
      <name val="Arial"/>
      <charset val="204"/>
    </font>
    <font>
      <i/>
      <sz val="11"/>
      <color rgb="FF0000FF"/>
      <name val="Arial"/>
      <charset val="204"/>
    </font>
    <font>
      <i/>
      <sz val="11"/>
      <color rgb="FF0000FF"/>
      <name val="Arial"/>
      <charset val="134"/>
    </font>
    <font>
      <sz val="9"/>
      <name val="Calibri"/>
      <charset val="1"/>
    </font>
    <font>
      <b/>
      <sz val="10"/>
      <color theme="1"/>
      <name val="Arial"/>
      <charset val="204"/>
    </font>
    <font>
      <sz val="11"/>
      <color rgb="FF000000"/>
      <name val="Times New Roman"/>
      <charset val="204"/>
    </font>
    <font>
      <b/>
      <sz val="10"/>
      <name val="Arial"/>
      <charset val="204"/>
    </font>
    <font>
      <sz val="10"/>
      <name val="Arial"/>
      <charset val="204"/>
    </font>
    <font>
      <sz val="11"/>
      <color rgb="FF222222"/>
      <name val="Arial"/>
      <charset val="134"/>
    </font>
    <font>
      <sz val="11"/>
      <color theme="1"/>
      <name val="Arial"/>
      <charset val="134"/>
    </font>
    <font>
      <b/>
      <sz val="10"/>
      <color rgb="FFFF0000"/>
      <name val="Arial"/>
      <charset val="204"/>
    </font>
    <font>
      <sz val="10"/>
      <color theme="1"/>
      <name val="Arial"/>
      <charset val="134"/>
    </font>
    <font>
      <i/>
      <sz val="8"/>
      <color rgb="FF808080"/>
      <name val="Calibri"/>
      <charset val="1"/>
    </font>
    <font>
      <i/>
      <sz val="9"/>
      <color theme="1"/>
      <name val="Arial"/>
      <charset val="134"/>
    </font>
    <font>
      <b/>
      <i/>
      <sz val="10"/>
      <color theme="1"/>
      <name val="Arial"/>
      <charset val="134"/>
    </font>
    <font>
      <i/>
      <sz val="10"/>
      <color rgb="FF00B050"/>
      <name val="Arial"/>
      <charset val="204"/>
    </font>
    <font>
      <b/>
      <i/>
      <sz val="10"/>
      <color rgb="FF00B050"/>
      <name val="Arial"/>
      <charset val="204"/>
    </font>
    <font>
      <i/>
      <sz val="10"/>
      <color theme="1"/>
      <name val="Arial"/>
      <charset val="204"/>
    </font>
    <font>
      <b/>
      <sz val="10"/>
      <color theme="1"/>
      <name val="Arial"/>
      <charset val="134"/>
    </font>
    <font>
      <b/>
      <i/>
      <sz val="10"/>
      <color rgb="FFFF0000"/>
      <name val="Arial"/>
      <charset val="204"/>
    </font>
    <font>
      <sz val="12"/>
      <color theme="1"/>
      <name val="Arial"/>
      <charset val="204"/>
    </font>
    <font>
      <i/>
      <sz val="9"/>
      <name val="Calibri"/>
      <charset val="1"/>
    </font>
    <font>
      <b/>
      <sz val="9"/>
      <name val="Calibri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 Cyr"/>
      <charset val="204"/>
    </font>
    <font>
      <sz val="11"/>
      <color theme="1"/>
      <name val="Calibri"/>
      <charset val="186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29" fillId="0" borderId="0" applyBorder="0" applyAlignment="0" applyProtection="0"/>
    <xf numFmtId="177" fontId="29" fillId="0" borderId="0" applyBorder="0" applyAlignment="0" applyProtection="0"/>
    <xf numFmtId="9" fontId="29" fillId="0" borderId="0" applyBorder="0" applyAlignment="0" applyProtection="0"/>
    <xf numFmtId="178" fontId="29" fillId="0" borderId="0" applyBorder="0" applyAlignment="0" applyProtection="0"/>
    <xf numFmtId="179" fontId="29" fillId="0" borderId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37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5" borderId="40" applyNumberFormat="0" applyAlignment="0" applyProtection="0">
      <alignment vertical="center"/>
    </xf>
    <xf numFmtId="0" fontId="40" fillId="6" borderId="41" applyNumberFormat="0" applyAlignment="0" applyProtection="0">
      <alignment vertical="center"/>
    </xf>
    <xf numFmtId="0" fontId="41" fillId="6" borderId="40" applyNumberFormat="0" applyAlignment="0" applyProtection="0">
      <alignment vertical="center"/>
    </xf>
    <xf numFmtId="0" fontId="42" fillId="7" borderId="42" applyNumberFormat="0" applyAlignment="0" applyProtection="0">
      <alignment vertical="center"/>
    </xf>
    <xf numFmtId="0" fontId="43" fillId="0" borderId="43" applyNumberFormat="0" applyFill="0" applyAlignment="0" applyProtection="0">
      <alignment vertical="center"/>
    </xf>
    <xf numFmtId="0" fontId="44" fillId="0" borderId="44" applyNumberFormat="0" applyFill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50" fillId="0" borderId="0"/>
    <xf numFmtId="0" fontId="0" fillId="0" borderId="0"/>
    <xf numFmtId="9" fontId="0" fillId="0" borderId="0"/>
    <xf numFmtId="0" fontId="29" fillId="0" borderId="0"/>
    <xf numFmtId="180" fontId="51" fillId="0" borderId="0"/>
  </cellStyleXfs>
  <cellXfs count="121">
    <xf numFmtId="0" fontId="0" fillId="0" borderId="0" xfId="0"/>
    <xf numFmtId="0" fontId="1" fillId="0" borderId="0" xfId="0" applyFont="1" applyAlignment="1"/>
    <xf numFmtId="0" fontId="2" fillId="0" borderId="0" xfId="0" applyFont="1" applyAlignmen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181" fontId="1" fillId="0" borderId="0" xfId="0" applyNumberFormat="1" applyFont="1" applyAlignment="1"/>
    <xf numFmtId="0" fontId="8" fillId="0" borderId="0" xfId="0" applyFont="1" applyAlignment="1">
      <alignment horizontal="center"/>
    </xf>
    <xf numFmtId="182" fontId="2" fillId="2" borderId="1" xfId="0" applyNumberFormat="1" applyFont="1" applyFill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183" fontId="2" fillId="0" borderId="10" xfId="0" applyNumberFormat="1" applyFont="1" applyBorder="1" applyAlignment="1">
      <alignment horizontal="center" vertical="center"/>
    </xf>
    <xf numFmtId="182" fontId="2" fillId="2" borderId="11" xfId="0" applyNumberFormat="1" applyFont="1" applyFill="1" applyBorder="1" applyAlignment="1">
      <alignment horizontal="right" vertical="center"/>
    </xf>
    <xf numFmtId="182" fontId="2" fillId="0" borderId="12" xfId="0" applyNumberFormat="1" applyFont="1" applyBorder="1" applyAlignment="1">
      <alignment horizontal="right" vertical="center"/>
    </xf>
    <xf numFmtId="182" fontId="2" fillId="0" borderId="11" xfId="0" applyNumberFormat="1" applyFont="1" applyBorder="1" applyAlignment="1">
      <alignment horizontal="right" vertical="center"/>
    </xf>
    <xf numFmtId="0" fontId="2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183" fontId="12" fillId="0" borderId="15" xfId="0" applyNumberFormat="1" applyFont="1" applyBorder="1" applyAlignment="1">
      <alignment horizontal="center" vertical="center"/>
    </xf>
    <xf numFmtId="182" fontId="2" fillId="0" borderId="5" xfId="0" applyNumberFormat="1" applyFont="1" applyBorder="1" applyAlignment="1">
      <alignment horizontal="right" vertical="center"/>
    </xf>
    <xf numFmtId="182" fontId="2" fillId="0" borderId="7" xfId="0" applyNumberFormat="1" applyFont="1" applyBorder="1" applyAlignment="1">
      <alignment horizontal="right" vertical="center"/>
    </xf>
    <xf numFmtId="0" fontId="13" fillId="3" borderId="0" xfId="0" applyFont="1" applyFill="1" applyAlignment="1">
      <alignment vertical="top"/>
    </xf>
    <xf numFmtId="0" fontId="14" fillId="3" borderId="0" xfId="0" applyFont="1" applyFill="1" applyAlignment="1"/>
    <xf numFmtId="0" fontId="9" fillId="0" borderId="0" xfId="0" applyFont="1" applyAlignment="1">
      <alignment vertical="center"/>
    </xf>
    <xf numFmtId="184" fontId="2" fillId="0" borderId="0" xfId="0" applyNumberFormat="1" applyFont="1" applyAlignment="1">
      <alignment vertical="center"/>
    </xf>
    <xf numFmtId="185" fontId="15" fillId="0" borderId="0" xfId="0" applyNumberFormat="1" applyFont="1" applyAlignment="1">
      <alignment vertical="center"/>
    </xf>
    <xf numFmtId="185" fontId="2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2" fontId="0" fillId="0" borderId="0" xfId="0" applyNumberFormat="1" applyAlignment="1"/>
    <xf numFmtId="186" fontId="1" fillId="0" borderId="0" xfId="0" applyNumberFormat="1" applyFont="1" applyAlignment="1"/>
    <xf numFmtId="0" fontId="17" fillId="0" borderId="0" xfId="0" applyFont="1" applyAlignment="1">
      <alignment horizontal="right" wrapText="1"/>
    </xf>
    <xf numFmtId="187" fontId="18" fillId="0" borderId="0" xfId="0" applyNumberFormat="1" applyFont="1" applyAlignment="1"/>
    <xf numFmtId="9" fontId="8" fillId="0" borderId="0" xfId="0" applyNumberFormat="1" applyFont="1" applyAlignment="1">
      <alignment horizontal="center"/>
    </xf>
    <xf numFmtId="0" fontId="18" fillId="0" borderId="0" xfId="0" applyFont="1" applyAlignment="1"/>
    <xf numFmtId="188" fontId="2" fillId="0" borderId="0" xfId="0" applyNumberFormat="1" applyFont="1" applyAlignment="1">
      <alignment vertical="center"/>
    </xf>
    <xf numFmtId="0" fontId="19" fillId="2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189" fontId="2" fillId="0" borderId="1" xfId="0" applyNumberFormat="1" applyFont="1" applyBorder="1" applyAlignment="1">
      <alignment horizontal="right" vertical="center"/>
    </xf>
    <xf numFmtId="187" fontId="19" fillId="0" borderId="0" xfId="0" applyNumberFormat="1" applyFont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9" fontId="9" fillId="0" borderId="6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82" fontId="12" fillId="0" borderId="11" xfId="0" applyNumberFormat="1" applyFont="1" applyBorder="1" applyAlignment="1">
      <alignment horizontal="right" vertical="center"/>
    </xf>
    <xf numFmtId="182" fontId="12" fillId="0" borderId="12" xfId="0" applyNumberFormat="1" applyFont="1" applyBorder="1" applyAlignment="1">
      <alignment horizontal="right" vertical="center"/>
    </xf>
    <xf numFmtId="182" fontId="12" fillId="0" borderId="18" xfId="0" applyNumberFormat="1" applyFont="1" applyBorder="1" applyAlignment="1">
      <alignment horizontal="right" vertical="center"/>
    </xf>
    <xf numFmtId="182" fontId="2" fillId="0" borderId="19" xfId="0" applyNumberFormat="1" applyFont="1" applyBorder="1" applyAlignment="1">
      <alignment horizontal="right" vertical="center"/>
    </xf>
    <xf numFmtId="182" fontId="2" fillId="0" borderId="20" xfId="0" applyNumberFormat="1" applyFont="1" applyBorder="1" applyAlignment="1">
      <alignment horizontal="right" vertical="center"/>
    </xf>
    <xf numFmtId="0" fontId="20" fillId="0" borderId="0" xfId="0" applyFont="1" applyAlignment="1">
      <alignment vertical="center"/>
    </xf>
    <xf numFmtId="9" fontId="21" fillId="0" borderId="0" xfId="0" applyNumberFormat="1" applyFont="1" applyAlignment="1">
      <alignment horizontal="center" vertical="center"/>
    </xf>
    <xf numFmtId="182" fontId="2" fillId="0" borderId="0" xfId="0" applyNumberFormat="1" applyFont="1" applyAlignment="1">
      <alignment vertical="center"/>
    </xf>
    <xf numFmtId="189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2" fillId="0" borderId="0" xfId="0" applyFont="1" applyAlignment="1">
      <alignment vertical="center"/>
    </xf>
    <xf numFmtId="10" fontId="22" fillId="0" borderId="0" xfId="0" applyNumberFormat="1" applyFont="1" applyAlignment="1">
      <alignment horizontal="center" vertical="center"/>
    </xf>
    <xf numFmtId="0" fontId="23" fillId="2" borderId="0" xfId="0" applyFont="1" applyFill="1" applyAlignment="1">
      <alignment vertical="center"/>
    </xf>
    <xf numFmtId="0" fontId="19" fillId="0" borderId="0" xfId="0" applyFont="1" applyAlignment="1">
      <alignment horizontal="right" vertical="center"/>
    </xf>
    <xf numFmtId="0" fontId="9" fillId="0" borderId="2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82" fontId="2" fillId="0" borderId="22" xfId="0" applyNumberFormat="1" applyFont="1" applyBorder="1" applyAlignment="1">
      <alignment horizontal="right" vertical="center"/>
    </xf>
    <xf numFmtId="182" fontId="2" fillId="0" borderId="6" xfId="0" applyNumberFormat="1" applyFont="1" applyBorder="1" applyAlignment="1">
      <alignment horizontal="right" vertical="center"/>
    </xf>
    <xf numFmtId="182" fontId="9" fillId="0" borderId="23" xfId="0" applyNumberFormat="1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182" fontId="2" fillId="0" borderId="25" xfId="0" applyNumberFormat="1" applyFont="1" applyBorder="1" applyAlignment="1">
      <alignment horizontal="center" vertical="center"/>
    </xf>
    <xf numFmtId="182" fontId="2" fillId="0" borderId="26" xfId="0" applyNumberFormat="1" applyFont="1" applyBorder="1" applyAlignment="1">
      <alignment vertical="center"/>
    </xf>
    <xf numFmtId="0" fontId="2" fillId="0" borderId="0" xfId="0" applyFont="1" applyAlignment="1">
      <alignment vertical="center" wrapText="1"/>
    </xf>
    <xf numFmtId="182" fontId="2" fillId="0" borderId="1" xfId="0" applyNumberFormat="1" applyFont="1" applyBorder="1" applyAlignment="1">
      <alignment horizontal="right" vertical="center"/>
    </xf>
    <xf numFmtId="0" fontId="2" fillId="0" borderId="18" xfId="0" applyFont="1" applyBorder="1" applyAlignment="1">
      <alignment horizontal="center" vertical="center"/>
    </xf>
    <xf numFmtId="182" fontId="2" fillId="0" borderId="18" xfId="0" applyNumberFormat="1" applyFont="1" applyBorder="1" applyAlignment="1">
      <alignment horizontal="center" vertical="center"/>
    </xf>
    <xf numFmtId="182" fontId="2" fillId="0" borderId="27" xfId="0" applyNumberFormat="1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10" fontId="9" fillId="0" borderId="29" xfId="0" applyNumberFormat="1" applyFont="1" applyBorder="1" applyAlignment="1">
      <alignment horizontal="center" vertical="center"/>
    </xf>
    <xf numFmtId="10" fontId="2" fillId="0" borderId="0" xfId="0" applyNumberFormat="1" applyFont="1" applyAlignment="1">
      <alignment horizontal="right" vertical="center"/>
    </xf>
    <xf numFmtId="10" fontId="2" fillId="0" borderId="18" xfId="0" applyNumberFormat="1" applyFont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2" fillId="0" borderId="18" xfId="0" applyFont="1" applyBorder="1" applyAlignment="1">
      <alignment vertical="center"/>
    </xf>
    <xf numFmtId="182" fontId="9" fillId="0" borderId="26" xfId="0" applyNumberFormat="1" applyFont="1" applyBorder="1" applyAlignment="1">
      <alignment vertical="center"/>
    </xf>
    <xf numFmtId="182" fontId="2" fillId="0" borderId="0" xfId="0" applyNumberFormat="1" applyFont="1" applyAlignment="1">
      <alignment horizontal="right" vertical="center"/>
    </xf>
    <xf numFmtId="182" fontId="2" fillId="0" borderId="30" xfId="0" applyNumberFormat="1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182" fontId="9" fillId="0" borderId="31" xfId="0" applyNumberFormat="1" applyFont="1" applyBorder="1" applyAlignment="1">
      <alignment horizontal="right" vertical="center"/>
    </xf>
    <xf numFmtId="10" fontId="9" fillId="0" borderId="32" xfId="0" applyNumberFormat="1" applyFont="1" applyBorder="1" applyAlignment="1">
      <alignment horizontal="center" vertical="center"/>
    </xf>
    <xf numFmtId="182" fontId="2" fillId="0" borderId="33" xfId="0" applyNumberFormat="1" applyFont="1" applyBorder="1" applyAlignment="1">
      <alignment vertical="center"/>
    </xf>
    <xf numFmtId="0" fontId="22" fillId="0" borderId="34" xfId="0" applyFont="1" applyBorder="1" applyAlignment="1">
      <alignment vertical="center"/>
    </xf>
    <xf numFmtId="0" fontId="22" fillId="0" borderId="34" xfId="0" applyFont="1" applyBorder="1" applyAlignment="1">
      <alignment horizontal="right" vertical="center"/>
    </xf>
    <xf numFmtId="0" fontId="2" fillId="0" borderId="35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182" fontId="24" fillId="0" borderId="28" xfId="0" applyNumberFormat="1" applyFont="1" applyBorder="1" applyAlignment="1">
      <alignment horizontal="right" vertical="center"/>
    </xf>
    <xf numFmtId="10" fontId="15" fillId="0" borderId="29" xfId="0" applyNumberFormat="1" applyFont="1" applyBorder="1" applyAlignment="1">
      <alignment horizontal="center" vertical="center"/>
    </xf>
    <xf numFmtId="2" fontId="25" fillId="0" borderId="0" xfId="0" applyNumberFormat="1" applyFont="1" applyAlignment="1"/>
    <xf numFmtId="0" fontId="26" fillId="0" borderId="0" xfId="0" applyFont="1" applyAlignment="1">
      <alignment horizontal="right"/>
    </xf>
    <xf numFmtId="0" fontId="27" fillId="0" borderId="0" xfId="0" applyFont="1" applyAlignment="1"/>
    <xf numFmtId="190" fontId="19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182" fontId="2" fillId="0" borderId="18" xfId="0" applyNumberFormat="1" applyFont="1" applyBorder="1" applyAlignment="1">
      <alignment horizontal="right" vertical="center"/>
    </xf>
    <xf numFmtId="191" fontId="2" fillId="2" borderId="9" xfId="0" applyNumberFormat="1" applyFont="1" applyFill="1" applyBorder="1" applyAlignment="1">
      <alignment horizontal="right" vertical="center"/>
    </xf>
    <xf numFmtId="191" fontId="2" fillId="0" borderId="9" xfId="0" applyNumberFormat="1" applyFont="1" applyBorder="1" applyAlignment="1">
      <alignment horizontal="right" vertical="center"/>
    </xf>
    <xf numFmtId="191" fontId="9" fillId="0" borderId="9" xfId="0" applyNumberFormat="1" applyFont="1" applyBorder="1" applyAlignment="1">
      <alignment horizontal="right" vertical="center"/>
    </xf>
    <xf numFmtId="191" fontId="11" fillId="0" borderId="9" xfId="0" applyNumberFormat="1" applyFont="1" applyBorder="1" applyAlignment="1">
      <alignment horizontal="right" vertical="center"/>
    </xf>
    <xf numFmtId="191" fontId="2" fillId="0" borderId="0" xfId="0" applyNumberFormat="1" applyFont="1" applyAlignment="1">
      <alignment vertical="center"/>
    </xf>
    <xf numFmtId="0" fontId="9" fillId="0" borderId="36" xfId="0" applyFont="1" applyBorder="1" applyAlignment="1">
      <alignment horizontal="center" vertical="center" wrapText="1"/>
    </xf>
    <xf numFmtId="187" fontId="2" fillId="0" borderId="12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191" fontId="2" fillId="0" borderId="12" xfId="0" applyNumberFormat="1" applyFont="1" applyBorder="1" applyAlignment="1">
      <alignment horizontal="center" vertical="center"/>
    </xf>
    <xf numFmtId="191" fontId="28" fillId="0" borderId="0" xfId="0" applyNumberFormat="1" applyFont="1" applyAlignment="1"/>
  </cellXfs>
  <cellStyles count="54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  <cellStyle name="Обычный 3" xfId="50"/>
    <cellStyle name="Процентный 2" xfId="51"/>
    <cellStyle name="Стиль 1" xfId="52"/>
    <cellStyle name="Финансовый 2" xfId="5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00B050"/>
      <rgbColor rgb="00003300"/>
      <rgbColor rgb="00333300"/>
      <rgbColor rgb="00993300"/>
      <rgbColor rgb="00993366"/>
      <rgbColor rgb="001F4E79"/>
      <rgbColor rgb="00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AI62"/>
  <sheetViews>
    <sheetView tabSelected="1" zoomScale="70" zoomScaleNormal="70" workbookViewId="0">
      <selection activeCell="J3" sqref="J3"/>
    </sheetView>
  </sheetViews>
  <sheetFormatPr defaultColWidth="13" defaultRowHeight="13.8"/>
  <cols>
    <col min="1" max="1" width="2.86111111111111" style="3" customWidth="1"/>
    <col min="2" max="2" width="3" style="3" customWidth="1"/>
    <col min="3" max="3" width="24.1296296296296" style="3" customWidth="1"/>
    <col min="4" max="5" width="7.28703703703704" style="3" customWidth="1"/>
    <col min="6" max="6" width="17.712962962963" style="3" customWidth="1"/>
    <col min="7" max="7" width="15.5833333333333" style="3" customWidth="1"/>
    <col min="8" max="8" width="13" style="3"/>
    <col min="9" max="9" width="11.712962962963" style="3" customWidth="1"/>
    <col min="10" max="10" width="14.1388888888889" style="3" customWidth="1"/>
    <col min="11" max="11" width="13.4166666666667" style="3" customWidth="1"/>
    <col min="12" max="12" width="13" style="3"/>
    <col min="13" max="13" width="13.4166666666667" style="3" customWidth="1"/>
    <col min="14" max="14" width="13" style="3"/>
    <col min="15" max="15" width="13.5833333333333" style="3" customWidth="1"/>
    <col min="16" max="16" width="11.712962962963" style="3" customWidth="1"/>
    <col min="17" max="17" width="10.8518518518519" style="3" customWidth="1"/>
    <col min="18" max="18" width="26.5740740740741" style="3" customWidth="1"/>
    <col min="19" max="19" width="13.287037037037" style="3" customWidth="1"/>
    <col min="20" max="20" width="15.4166666666667" style="3" customWidth="1"/>
    <col min="21" max="21" width="13.4166666666667" style="3" customWidth="1"/>
    <col min="22" max="22" width="14.5833333333333" style="3" customWidth="1"/>
    <col min="23" max="23" width="12.287037037037" style="3" customWidth="1"/>
    <col min="24" max="24" width="14.287037037037" style="3" customWidth="1"/>
    <col min="25" max="25" width="14.5833333333333" style="3" customWidth="1"/>
    <col min="26" max="26" width="4.71296296296296" style="3" customWidth="1"/>
    <col min="27" max="27" width="19.712962962963" style="3" customWidth="1"/>
    <col min="28" max="28" width="20.287037037037" style="3" customWidth="1"/>
    <col min="29" max="29" width="18.5833333333333" style="3" customWidth="1"/>
    <col min="30" max="30" width="19.712962962963" style="3" customWidth="1"/>
    <col min="31" max="31" width="18" style="3" customWidth="1"/>
    <col min="32" max="32" width="20.712962962963" style="3" customWidth="1"/>
    <col min="33" max="16384" width="13" style="3"/>
  </cols>
  <sheetData>
    <row r="2" ht="15" customHeight="1" spans="2:32">
      <c r="B2" s="4" t="s">
        <v>0</v>
      </c>
      <c r="C2" s="5"/>
      <c r="I2" s="38"/>
      <c r="AE2" s="103" t="s">
        <v>1</v>
      </c>
      <c r="AF2" s="103"/>
    </row>
    <row r="3" ht="14.25" customHeight="1" spans="2:9">
      <c r="B3" s="6" t="s">
        <v>2</v>
      </c>
      <c r="C3" s="5"/>
      <c r="I3" s="38"/>
    </row>
    <row r="4" ht="14.25" customHeight="1" spans="2:9">
      <c r="B4" s="6" t="s">
        <v>3</v>
      </c>
      <c r="C4" s="5"/>
      <c r="I4" s="38"/>
    </row>
    <row r="5" ht="14.25" customHeight="1" spans="2:9">
      <c r="B5" s="7" t="s">
        <v>4</v>
      </c>
      <c r="C5" s="5"/>
      <c r="I5" s="38"/>
    </row>
    <row r="6" ht="14.25" customHeight="1" spans="2:9">
      <c r="B6" s="6" t="s">
        <v>5</v>
      </c>
      <c r="C6" s="5"/>
      <c r="I6" s="38"/>
    </row>
    <row r="7" ht="14.25" customHeight="1" spans="2:9">
      <c r="B7" s="6" t="s">
        <v>6</v>
      </c>
      <c r="C7" s="5"/>
      <c r="I7" s="38"/>
    </row>
    <row r="8" s="1" customFormat="1" ht="20.25" customHeight="1" spans="2:30">
      <c r="B8" s="6" t="s">
        <v>7</v>
      </c>
      <c r="C8" s="5"/>
      <c r="G8" s="8"/>
      <c r="H8" s="9" t="s">
        <v>8</v>
      </c>
      <c r="K8" s="39"/>
      <c r="L8" s="9" t="s">
        <v>9</v>
      </c>
      <c r="M8" s="40" t="s">
        <v>10</v>
      </c>
      <c r="N8" s="41">
        <v>0.05</v>
      </c>
      <c r="O8" s="42" t="s">
        <v>11</v>
      </c>
      <c r="P8" s="43"/>
      <c r="Q8" s="43" t="s">
        <v>12</v>
      </c>
      <c r="T8" s="43"/>
      <c r="AC8" s="104" t="s">
        <v>13</v>
      </c>
      <c r="AD8" s="105" t="s">
        <v>14</v>
      </c>
    </row>
    <row r="9" s="2" customFormat="1" ht="13.5" customHeight="1" spans="8:32">
      <c r="H9" s="10">
        <v>17000</v>
      </c>
      <c r="I9" s="44"/>
      <c r="L9" s="45">
        <v>1.2</v>
      </c>
      <c r="M9" s="46"/>
      <c r="N9" s="47"/>
      <c r="O9" s="48">
        <v>0.16</v>
      </c>
      <c r="P9" s="46"/>
      <c r="Q9" s="67">
        <v>1</v>
      </c>
      <c r="T9" s="46"/>
      <c r="X9" s="68"/>
      <c r="Y9" s="106"/>
      <c r="AC9" s="107" t="s">
        <v>15</v>
      </c>
      <c r="AD9" s="107" t="s">
        <v>16</v>
      </c>
      <c r="AE9" s="68" t="s">
        <v>17</v>
      </c>
      <c r="AF9" s="106">
        <v>464.71</v>
      </c>
    </row>
    <row r="10" s="2" customFormat="1" ht="15" customHeight="1" spans="2:35">
      <c r="B10" s="11" t="s">
        <v>18</v>
      </c>
      <c r="C10" s="12" t="s">
        <v>19</v>
      </c>
      <c r="D10" s="12" t="s">
        <v>20</v>
      </c>
      <c r="E10" s="13" t="s">
        <v>21</v>
      </c>
      <c r="F10" s="11" t="s">
        <v>22</v>
      </c>
      <c r="G10" s="11"/>
      <c r="H10" s="14" t="s">
        <v>23</v>
      </c>
      <c r="I10" s="14"/>
      <c r="J10" s="12" t="s">
        <v>24</v>
      </c>
      <c r="K10" s="12"/>
      <c r="L10" s="11" t="s">
        <v>25</v>
      </c>
      <c r="M10" s="11"/>
      <c r="N10" s="49" t="s">
        <v>26</v>
      </c>
      <c r="O10" s="49"/>
      <c r="P10" s="49"/>
      <c r="Q10" s="49"/>
      <c r="R10" s="12" t="s">
        <v>27</v>
      </c>
      <c r="S10" s="12"/>
      <c r="T10" s="69" t="s">
        <v>28</v>
      </c>
      <c r="U10" s="69"/>
      <c r="V10" s="69"/>
      <c r="W10" s="69"/>
      <c r="X10" s="69"/>
      <c r="Y10" s="69"/>
      <c r="AA10" s="108" t="s">
        <v>29</v>
      </c>
      <c r="AB10" s="108"/>
      <c r="AC10" s="108"/>
      <c r="AD10" s="108"/>
      <c r="AE10" s="108"/>
      <c r="AF10" s="108"/>
      <c r="AG10" s="116" t="s">
        <v>30</v>
      </c>
      <c r="AH10" s="116" t="s">
        <v>31</v>
      </c>
      <c r="AI10" s="116" t="s">
        <v>32</v>
      </c>
    </row>
    <row r="11" s="2" customFormat="1" ht="39.75" customHeight="1" spans="2:35">
      <c r="B11" s="11"/>
      <c r="C11" s="12"/>
      <c r="D11" s="12"/>
      <c r="E11" s="13"/>
      <c r="F11" s="15" t="s">
        <v>33</v>
      </c>
      <c r="G11" s="16" t="s">
        <v>34</v>
      </c>
      <c r="H11" s="17" t="s">
        <v>33</v>
      </c>
      <c r="I11" s="16" t="s">
        <v>34</v>
      </c>
      <c r="J11" s="16" t="s">
        <v>33</v>
      </c>
      <c r="K11" s="50" t="s">
        <v>35</v>
      </c>
      <c r="L11" s="15" t="s">
        <v>33</v>
      </c>
      <c r="M11" s="50" t="s">
        <v>35</v>
      </c>
      <c r="N11" s="51" t="s">
        <v>36</v>
      </c>
      <c r="O11" s="52" t="s">
        <v>37</v>
      </c>
      <c r="P11" s="53" t="s">
        <v>38</v>
      </c>
      <c r="Q11" s="53" t="s">
        <v>39</v>
      </c>
      <c r="R11" s="51" t="s">
        <v>40</v>
      </c>
      <c r="S11" s="70" t="s">
        <v>41</v>
      </c>
      <c r="T11" s="71" t="s">
        <v>42</v>
      </c>
      <c r="U11" s="53" t="s">
        <v>43</v>
      </c>
      <c r="V11" s="53" t="s">
        <v>44</v>
      </c>
      <c r="W11" s="53" t="s">
        <v>45</v>
      </c>
      <c r="X11" s="53" t="s">
        <v>46</v>
      </c>
      <c r="Y11" s="70" t="s">
        <v>47</v>
      </c>
      <c r="AA11" s="109" t="s">
        <v>48</v>
      </c>
      <c r="AB11" s="109" t="s">
        <v>49</v>
      </c>
      <c r="AC11" s="109" t="s">
        <v>44</v>
      </c>
      <c r="AD11" s="109" t="s">
        <v>50</v>
      </c>
      <c r="AE11" s="109" t="s">
        <v>51</v>
      </c>
      <c r="AF11" s="109" t="s">
        <v>52</v>
      </c>
      <c r="AG11" s="116"/>
      <c r="AH11" s="116"/>
      <c r="AI11" s="116"/>
    </row>
    <row r="12" s="2" customFormat="1" ht="41.25" customHeight="1" spans="2:35">
      <c r="B12" s="18">
        <v>1</v>
      </c>
      <c r="C12" s="19" t="s">
        <v>53</v>
      </c>
      <c r="D12" s="20" t="s">
        <v>54</v>
      </c>
      <c r="E12" s="21">
        <v>1</v>
      </c>
      <c r="F12" s="22">
        <v>237000</v>
      </c>
      <c r="G12" s="23">
        <f>F12*E12</f>
        <v>237000</v>
      </c>
      <c r="H12" s="24">
        <f>G12/$G$13*$H$9/E12</f>
        <v>17000</v>
      </c>
      <c r="I12" s="23">
        <f>H12*E12</f>
        <v>17000</v>
      </c>
      <c r="J12" s="54">
        <f>F12+H12</f>
        <v>254000</v>
      </c>
      <c r="K12" s="55">
        <f>J12*E12</f>
        <v>254000</v>
      </c>
      <c r="L12" s="54">
        <f>J12*$L$9</f>
        <v>304800</v>
      </c>
      <c r="M12" s="56">
        <f>L12*E12</f>
        <v>304800</v>
      </c>
      <c r="N12" s="57">
        <f>M12*AG12</f>
        <v>15240</v>
      </c>
      <c r="O12" s="57">
        <f>(M12+N12)*$O$9</f>
        <v>51206.4</v>
      </c>
      <c r="P12" s="57">
        <v>500</v>
      </c>
      <c r="Q12" s="72">
        <f>(25950/$AF$9)*AH12</f>
        <v>55.8412773557703</v>
      </c>
      <c r="R12" s="57">
        <f>(M12+N12+O12+Q12+P12+AI12)/E12</f>
        <v>371802.241277356</v>
      </c>
      <c r="S12" s="23">
        <f>R12*E12</f>
        <v>371802.241277356</v>
      </c>
      <c r="T12" s="24">
        <f>AA12/$AF$9</f>
        <v>335693.228034688</v>
      </c>
      <c r="U12" s="23">
        <f>T12*E12</f>
        <v>335693.228034688</v>
      </c>
      <c r="V12" s="24">
        <f>U12*0.16</f>
        <v>53710.9164855501</v>
      </c>
      <c r="W12" s="23">
        <f>V12-O12</f>
        <v>2504.51648555014</v>
      </c>
      <c r="X12" s="24">
        <f>T12*1.16</f>
        <v>389404.144520238</v>
      </c>
      <c r="Y12" s="110">
        <f>X12*E12</f>
        <v>389404.144520238</v>
      </c>
      <c r="AA12" s="111">
        <v>156000000</v>
      </c>
      <c r="AB12" s="112">
        <f>AA12*E12</f>
        <v>156000000</v>
      </c>
      <c r="AC12" s="112">
        <f>AB12*0.16</f>
        <v>24960000</v>
      </c>
      <c r="AD12" s="112">
        <f>AC12-O12*AF9</f>
        <v>1163873.856</v>
      </c>
      <c r="AE12" s="112">
        <f>AA12*1.16</f>
        <v>180960000</v>
      </c>
      <c r="AF12" s="112">
        <f>AE12*E12</f>
        <v>180960000</v>
      </c>
      <c r="AG12" s="117">
        <v>0.05</v>
      </c>
      <c r="AH12" s="118">
        <v>1</v>
      </c>
      <c r="AI12" s="119">
        <v>0</v>
      </c>
    </row>
    <row r="13" s="2" customFormat="1" ht="12.75" customHeight="1" spans="2:35">
      <c r="B13" s="25"/>
      <c r="C13" s="26" t="s">
        <v>55</v>
      </c>
      <c r="D13" s="27"/>
      <c r="E13" s="28">
        <f>SUM(E12:E12)</f>
        <v>1</v>
      </c>
      <c r="F13" s="29"/>
      <c r="G13" s="30">
        <f>SUM(G12:G12)</f>
        <v>237000</v>
      </c>
      <c r="H13" s="29"/>
      <c r="I13" s="30">
        <f>SUM(I12:I12)</f>
        <v>17000</v>
      </c>
      <c r="J13" s="29"/>
      <c r="K13" s="30">
        <f>SUM(K12:K12)</f>
        <v>254000</v>
      </c>
      <c r="L13" s="29"/>
      <c r="M13" s="58">
        <f>SUM(M12:M12)</f>
        <v>304800</v>
      </c>
      <c r="N13" s="30">
        <f>SUM(N12:N12)</f>
        <v>15240</v>
      </c>
      <c r="O13" s="30">
        <f>SUM(O12:O12)</f>
        <v>51206.4</v>
      </c>
      <c r="P13" s="30">
        <f>SUM(P12:P12)</f>
        <v>500</v>
      </c>
      <c r="Q13" s="73">
        <f>SUM(Q12:Q12)</f>
        <v>55.8412773557703</v>
      </c>
      <c r="R13" s="30"/>
      <c r="S13" s="30">
        <f>SUM(S12:S12)</f>
        <v>371802.241277356</v>
      </c>
      <c r="T13" s="29"/>
      <c r="U13" s="30">
        <f>SUM(U12:U12)</f>
        <v>335693.228034688</v>
      </c>
      <c r="V13" s="29">
        <f>SUM(V12:V12)</f>
        <v>53710.9164855501</v>
      </c>
      <c r="W13" s="30">
        <f>SUM(W12:W12)</f>
        <v>2504.51648555014</v>
      </c>
      <c r="X13" s="29"/>
      <c r="Y13" s="58">
        <f>SUM(Y12:Y12)</f>
        <v>389404.144520238</v>
      </c>
      <c r="AA13" s="113"/>
      <c r="AB13" s="113">
        <f>SUM(AB12:AB12)</f>
        <v>156000000</v>
      </c>
      <c r="AC13" s="113">
        <f>SUM(AC12:AC12)</f>
        <v>24960000</v>
      </c>
      <c r="AD13" s="113">
        <f>SUM(AD12:AD12)</f>
        <v>1163873.856</v>
      </c>
      <c r="AE13" s="114"/>
      <c r="AF13" s="113">
        <f>SUM(AF12:AF12)</f>
        <v>180960000</v>
      </c>
      <c r="AI13" s="120">
        <f>SUM(AI12:AI12)</f>
        <v>0</v>
      </c>
    </row>
    <row r="14" s="2" customFormat="1" ht="12.75" customHeight="1" spans="10:32">
      <c r="J14" s="59"/>
      <c r="K14" s="60"/>
      <c r="Y14" s="34"/>
      <c r="AF14" s="115"/>
    </row>
    <row r="15" s="2" customFormat="1" ht="13.5" customHeight="1" spans="10:25">
      <c r="J15" s="59"/>
      <c r="K15" s="60"/>
      <c r="N15" s="61"/>
      <c r="Y15" s="44"/>
    </row>
    <row r="16" s="2" customFormat="1" ht="12.75" customHeight="1" spans="10:23">
      <c r="J16" s="61"/>
      <c r="K16" s="61"/>
      <c r="N16" s="61"/>
      <c r="O16" s="62"/>
      <c r="Q16" s="74"/>
      <c r="R16" s="75" t="s">
        <v>56</v>
      </c>
      <c r="S16" s="24">
        <f>Y13-S13-W13</f>
        <v>15097.3867573325</v>
      </c>
      <c r="T16" s="76"/>
      <c r="V16" s="61"/>
      <c r="W16" s="62"/>
    </row>
    <row r="17" s="2" customFormat="1" ht="13.5" customHeight="1" spans="2:24">
      <c r="B17" s="31"/>
      <c r="J17" s="61"/>
      <c r="K17" s="61"/>
      <c r="Q17" s="77"/>
      <c r="R17" s="78" t="s">
        <v>57</v>
      </c>
      <c r="S17" s="79">
        <f>M13*0.7%</f>
        <v>2133.6</v>
      </c>
      <c r="T17" s="80"/>
      <c r="V17" s="36"/>
      <c r="X17" s="62"/>
    </row>
    <row r="18" s="2" customFormat="1" ht="13.5" customHeight="1" spans="2:22">
      <c r="B18" s="32"/>
      <c r="C18" s="33"/>
      <c r="E18" s="34"/>
      <c r="J18" s="61"/>
      <c r="K18" s="61"/>
      <c r="L18" s="63"/>
      <c r="Q18" s="77"/>
      <c r="R18" s="78" t="s">
        <v>58</v>
      </c>
      <c r="S18" s="79">
        <f>(S16-S17)*20%</f>
        <v>2592.7573514665</v>
      </c>
      <c r="T18" s="80"/>
      <c r="V18" s="36"/>
    </row>
    <row r="19" s="2" customFormat="1" ht="13.5" customHeight="1" spans="2:28">
      <c r="B19" s="32" t="s">
        <v>59</v>
      </c>
      <c r="C19" s="35"/>
      <c r="E19" s="36"/>
      <c r="F19" s="36"/>
      <c r="G19" s="36"/>
      <c r="H19" s="36"/>
      <c r="I19" s="36"/>
      <c r="J19" s="61"/>
      <c r="K19" s="61"/>
      <c r="L19" s="64"/>
      <c r="Q19" s="77"/>
      <c r="R19" s="2" t="s">
        <v>60</v>
      </c>
      <c r="S19" s="79">
        <f>(S16-SUM(S17:S18))*6%</f>
        <v>622.26176435196</v>
      </c>
      <c r="T19" s="81"/>
      <c r="V19" s="36"/>
      <c r="AB19" s="115"/>
    </row>
    <row r="20" s="2" customFormat="1" ht="14.25" customHeight="1" spans="2:28">
      <c r="B20" s="32" t="s">
        <v>61</v>
      </c>
      <c r="C20" s="35"/>
      <c r="E20" s="36"/>
      <c r="F20" s="36"/>
      <c r="G20" s="36"/>
      <c r="H20" s="36"/>
      <c r="I20" s="36"/>
      <c r="J20" s="61"/>
      <c r="K20" s="61"/>
      <c r="L20" s="64"/>
      <c r="Q20" s="82"/>
      <c r="R20" s="83" t="s">
        <v>62</v>
      </c>
      <c r="S20" s="29">
        <f>S16-SUM(S17:S19)</f>
        <v>9748.76764151404</v>
      </c>
      <c r="T20" s="84">
        <f>S20/Y13</f>
        <v>0.0250350895816091</v>
      </c>
      <c r="V20" s="36"/>
      <c r="AB20" s="115"/>
    </row>
    <row r="21" s="2" customFormat="1" ht="13.5" customHeight="1" spans="2:20">
      <c r="B21" s="32" t="s">
        <v>63</v>
      </c>
      <c r="J21" s="61"/>
      <c r="K21" s="61"/>
      <c r="L21" s="63"/>
      <c r="Q21" s="77"/>
      <c r="S21" s="85"/>
      <c r="T21" s="86"/>
    </row>
    <row r="22" s="2" customFormat="1" ht="12.75" customHeight="1" spans="2:20">
      <c r="B22" s="37"/>
      <c r="C22" s="35"/>
      <c r="E22" s="36"/>
      <c r="F22" s="36"/>
      <c r="G22" s="36"/>
      <c r="H22" s="36"/>
      <c r="I22" s="36"/>
      <c r="J22" s="61"/>
      <c r="K22" s="61"/>
      <c r="L22" s="63"/>
      <c r="Q22" s="77"/>
      <c r="R22" s="65"/>
      <c r="S22" s="87"/>
      <c r="T22" s="88"/>
    </row>
    <row r="23" s="2" customFormat="1" ht="12.75" customHeight="1" spans="10:20">
      <c r="J23" s="61"/>
      <c r="K23" s="61"/>
      <c r="L23" s="65"/>
      <c r="Q23" s="89" t="s">
        <v>14</v>
      </c>
      <c r="R23" s="2" t="s">
        <v>56</v>
      </c>
      <c r="S23" s="90">
        <f>(M13-K13)/1.15</f>
        <v>44173.9130434783</v>
      </c>
      <c r="T23" s="88"/>
    </row>
    <row r="24" s="2" customFormat="1" ht="12.75" customHeight="1" spans="10:20">
      <c r="J24" s="61"/>
      <c r="K24" s="61"/>
      <c r="L24" s="65"/>
      <c r="Q24" s="91"/>
      <c r="R24" s="92" t="s">
        <v>64</v>
      </c>
      <c r="S24" s="93">
        <f>S23</f>
        <v>44173.9130434783</v>
      </c>
      <c r="T24" s="94">
        <f>S24/Y13</f>
        <v>0.113439760888786</v>
      </c>
    </row>
    <row r="25" s="2" customFormat="1" ht="12.75" customHeight="1" spans="10:20">
      <c r="J25" s="61"/>
      <c r="K25" s="61"/>
      <c r="L25" s="65"/>
      <c r="Q25" s="95"/>
      <c r="R25" s="96"/>
      <c r="S25" s="97"/>
      <c r="T25" s="98"/>
    </row>
    <row r="26" s="2" customFormat="1" ht="13.5" customHeight="1" spans="10:20">
      <c r="J26" s="61"/>
      <c r="K26" s="61"/>
      <c r="L26" s="65"/>
      <c r="Q26" s="99"/>
      <c r="R26" s="100" t="s">
        <v>65</v>
      </c>
      <c r="S26" s="101">
        <f>(S20+S24)</f>
        <v>53922.6806849923</v>
      </c>
      <c r="T26" s="102">
        <f>S26/Y13</f>
        <v>0.138474850470396</v>
      </c>
    </row>
    <row r="27" s="2" customFormat="1" ht="12.75" customHeight="1" spans="10:12">
      <c r="J27" s="61"/>
      <c r="K27" s="61"/>
      <c r="L27" s="65"/>
    </row>
    <row r="28" s="2" customFormat="1" ht="12.75" customHeight="1" spans="11:12">
      <c r="K28" s="61"/>
      <c r="L28" s="66"/>
    </row>
    <row r="29" s="2" customFormat="1" ht="12.75" customHeight="1"/>
    <row r="30" s="2" customFormat="1" ht="12.75" customHeight="1"/>
    <row r="31" ht="13.5" customHeight="1" spans="18:20">
      <c r="R31" s="2"/>
      <c r="S31" s="2"/>
      <c r="T31" s="2"/>
    </row>
    <row r="35" ht="15" customHeight="1" spans="2:32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 ht="14.25" customHeight="1" spans="2:32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ht="14.25" customHeight="1" spans="2:32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ht="14.25" customHeight="1" spans="2:32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 ht="14.25" customHeight="1" spans="2:32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 ht="14.25" customHeight="1" spans="2:32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 s="1" customFormat="1" ht="13.5" customHeight="1" spans="2:32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 s="2" customFormat="1" ht="13.5" customHeight="1" spans="2:32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 s="2" customFormat="1" ht="15" customHeight="1" spans="2:32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 s="2" customFormat="1" ht="39.75" customHeight="1" spans="2:32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 s="2" customFormat="1" ht="41.25" customHeight="1" spans="2:32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 s="2" customFormat="1" ht="12.75" customHeight="1" spans="2:32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 s="2" customFormat="1" ht="12.75" customHeight="1" spans="2:32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 s="2" customFormat="1" ht="13.5" customHeight="1" spans="2:32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="2" customFormat="1" ht="12.75" customHeight="1" spans="2:32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 s="2" customFormat="1" ht="13.5" customHeight="1" spans="2:32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="2" customFormat="1" ht="13.5" customHeight="1" spans="2:32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 s="2" customFormat="1" ht="13.5" customHeight="1" spans="2:32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="2" customFormat="1" ht="14.25" customHeight="1" spans="2:32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 s="2" customFormat="1" ht="13.5" customHeight="1" spans="2:32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 s="2" customFormat="1" ht="13.5" customHeight="1" spans="2:32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 s="2" customFormat="1" ht="13.5" customHeight="1" spans="2:32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 s="2" customFormat="1" ht="12.75" customHeight="1" spans="2:32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 s="2" customFormat="1" ht="12.75" customHeight="1" spans="2:32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 s="2" customFormat="1" ht="13.5" customHeight="1" spans="2:32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  <row r="60" s="2" customFormat="1" ht="12.75" customHeight="1" spans="10:12">
      <c r="J60" s="61"/>
      <c r="K60" s="61"/>
      <c r="L60" s="65"/>
    </row>
    <row r="61" s="2" customFormat="1" ht="13.5" customHeight="1" spans="10:21">
      <c r="J61" s="61"/>
      <c r="K61" s="61"/>
      <c r="L61" s="65"/>
      <c r="Q61" s="3"/>
      <c r="R61" s="3"/>
      <c r="S61" s="3"/>
      <c r="T61" s="3"/>
      <c r="U61" s="3"/>
    </row>
    <row r="62" s="2" customFormat="1" ht="13.5" customHeight="1" spans="10:21">
      <c r="J62" s="61"/>
      <c r="K62" s="61"/>
      <c r="L62" s="65"/>
      <c r="Q62" s="3"/>
      <c r="R62" s="3"/>
      <c r="S62" s="3"/>
      <c r="T62" s="3"/>
      <c r="U62" s="3"/>
    </row>
  </sheetData>
  <mergeCells count="15">
    <mergeCell ref="F10:G10"/>
    <mergeCell ref="H10:I10"/>
    <mergeCell ref="J10:K10"/>
    <mergeCell ref="L10:M10"/>
    <mergeCell ref="N10:Q10"/>
    <mergeCell ref="R10:S10"/>
    <mergeCell ref="T10:Y10"/>
    <mergeCell ref="AA10:AF10"/>
    <mergeCell ref="B10:B11"/>
    <mergeCell ref="C10:C11"/>
    <mergeCell ref="D10:D11"/>
    <mergeCell ref="E10:E11"/>
    <mergeCell ref="AG10:AG11"/>
    <mergeCell ref="AH10:AH11"/>
    <mergeCell ref="AI10:AI11"/>
  </mergeCells>
  <pageMargins left="0.7" right="0.7" top="0.75" bottom="0.75" header="0.511811023622047" footer="0.511811023622047"/>
  <pageSetup paperSize="9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расчет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user</cp:lastModifiedBy>
  <cp:revision>0</cp:revision>
  <dcterms:created xsi:type="dcterms:W3CDTF">2015-06-05T18:19:00Z</dcterms:created>
  <cp:lastPrinted>2026-01-30T12:07:00Z</cp:lastPrinted>
  <dcterms:modified xsi:type="dcterms:W3CDTF">2026-07-15T05:24:10Z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3AFD5D8C17CC4C7FAB066888C6618BF7_12</vt:lpwstr>
  </property>
  <property fmtid="{D5CDD505-2E9C-101B-9397-08002B2CF9AE}" pid="3" name="KSOProductBuildVer">
    <vt:lpwstr>1049-12.2.0.23206</vt:lpwstr>
  </property>
</Properties>
</file>